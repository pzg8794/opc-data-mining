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chito\Desktop\Data Cleaning &amp; Processing\Weeks\Week4\"/>
    </mc:Choice>
  </mc:AlternateContent>
  <bookViews>
    <workbookView xWindow="480" yWindow="345" windowWidth="19875" windowHeight="7215" activeTab="4"/>
  </bookViews>
  <sheets>
    <sheet name="Sheet8" sheetId="8" r:id="rId1"/>
    <sheet name="Sheet9" sheetId="9" r:id="rId2"/>
    <sheet name="Sheet10" sheetId="10" r:id="rId3"/>
    <sheet name="Sheet11" sheetId="11" r:id="rId4"/>
    <sheet name="Sheet1" sheetId="1" r:id="rId5"/>
  </sheets>
  <calcPr calcId="152511"/>
</workbook>
</file>

<file path=xl/calcChain.xml><?xml version="1.0" encoding="utf-8"?>
<calcChain xmlns="http://schemas.openxmlformats.org/spreadsheetml/2006/main">
  <c r="B19" i="10" l="1"/>
  <c r="W47" i="1" l="1"/>
  <c r="W44" i="1"/>
  <c r="W41" i="1"/>
  <c r="U29" i="1"/>
  <c r="W29" i="1"/>
  <c r="W26" i="1"/>
  <c r="W23" i="1"/>
  <c r="W20" i="1"/>
  <c r="W17" i="1"/>
  <c r="B20" i="11"/>
  <c r="B19" i="11"/>
  <c r="B18" i="11"/>
  <c r="B23" i="11"/>
  <c r="B26" i="10"/>
  <c r="B24" i="10"/>
  <c r="W38" i="1"/>
  <c r="W35" i="1"/>
  <c r="U38" i="1"/>
  <c r="U35" i="1"/>
  <c r="B21" i="10"/>
  <c r="W3" i="1"/>
  <c r="U3" i="1"/>
  <c r="W50" i="1" l="1"/>
  <c r="B20" i="10"/>
  <c r="U44" i="1" l="1"/>
  <c r="U50" i="1" s="1"/>
  <c r="U47" i="1"/>
  <c r="U41" i="1"/>
  <c r="U26" i="1"/>
  <c r="U23" i="1"/>
  <c r="U20" i="1"/>
  <c r="U17" i="1"/>
  <c r="W14" i="1"/>
  <c r="U14" i="1"/>
  <c r="S65" i="1"/>
  <c r="Q37" i="1"/>
  <c r="N9" i="1" l="1"/>
  <c r="N17" i="1"/>
  <c r="N51" i="1"/>
  <c r="N62" i="1"/>
  <c r="N80" i="1"/>
  <c r="N83" i="1"/>
  <c r="N174" i="1"/>
  <c r="N195" i="1"/>
  <c r="N224" i="1"/>
  <c r="N263" i="1"/>
  <c r="N268" i="1"/>
  <c r="N271" i="1"/>
  <c r="N302" i="1"/>
  <c r="N334" i="1"/>
  <c r="N338" i="1"/>
  <c r="N349" i="1"/>
  <c r="N359" i="1"/>
  <c r="N428" i="1"/>
  <c r="N432" i="1"/>
  <c r="N437" i="1"/>
  <c r="N455" i="1"/>
  <c r="N470" i="1"/>
  <c r="N486" i="1"/>
  <c r="N496" i="1"/>
  <c r="N524" i="1"/>
  <c r="N535" i="1"/>
  <c r="N537" i="1"/>
  <c r="N591" i="1"/>
  <c r="N603" i="1"/>
  <c r="N606" i="1"/>
  <c r="N621" i="1"/>
  <c r="N645" i="1"/>
  <c r="N699" i="1"/>
  <c r="N705" i="1"/>
  <c r="N708" i="1"/>
  <c r="N2" i="1"/>
  <c r="L9" i="1"/>
  <c r="L17" i="1"/>
  <c r="L51" i="1"/>
  <c r="L62" i="1"/>
  <c r="L80" i="1"/>
  <c r="L83" i="1"/>
  <c r="L174" i="1"/>
  <c r="L195" i="1"/>
  <c r="L224" i="1"/>
  <c r="L263" i="1"/>
  <c r="L268" i="1"/>
  <c r="L271" i="1"/>
  <c r="L302" i="1"/>
  <c r="L334" i="1"/>
  <c r="L338" i="1"/>
  <c r="L349" i="1"/>
  <c r="L359" i="1"/>
  <c r="L428" i="1"/>
  <c r="L432" i="1"/>
  <c r="L437" i="1"/>
  <c r="L455" i="1"/>
  <c r="L470" i="1"/>
  <c r="L486" i="1"/>
  <c r="L496" i="1"/>
  <c r="L524" i="1"/>
  <c r="L535" i="1"/>
  <c r="L537" i="1"/>
  <c r="L591" i="1"/>
  <c r="L603" i="1"/>
  <c r="L606" i="1"/>
  <c r="L621" i="1"/>
  <c r="L645" i="1"/>
  <c r="L699" i="1"/>
  <c r="L705" i="1"/>
  <c r="L708" i="1"/>
  <c r="L2" i="1"/>
  <c r="N5" i="1" l="1"/>
  <c r="N13" i="1"/>
  <c r="N21" i="1"/>
  <c r="N25" i="1"/>
  <c r="N29" i="1"/>
  <c r="N33" i="1"/>
  <c r="N37" i="1"/>
  <c r="N41" i="1"/>
  <c r="N45" i="1"/>
  <c r="N49" i="1"/>
  <c r="N53" i="1"/>
  <c r="N57" i="1"/>
  <c r="N61" i="1"/>
  <c r="N65" i="1"/>
  <c r="N69" i="1"/>
  <c r="N73" i="1"/>
  <c r="N77" i="1"/>
  <c r="N81" i="1"/>
  <c r="N85" i="1"/>
  <c r="N89" i="1"/>
  <c r="N93" i="1"/>
  <c r="N9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N149" i="1"/>
  <c r="N153" i="1"/>
  <c r="N157" i="1"/>
  <c r="N161" i="1"/>
  <c r="N165" i="1"/>
  <c r="N169" i="1"/>
  <c r="N173" i="1"/>
  <c r="N177" i="1"/>
  <c r="N181" i="1"/>
  <c r="N185" i="1"/>
  <c r="N189" i="1"/>
  <c r="N193" i="1"/>
  <c r="N197" i="1"/>
  <c r="N201" i="1"/>
  <c r="N205" i="1"/>
  <c r="N209" i="1"/>
  <c r="N213" i="1"/>
  <c r="N217" i="1"/>
  <c r="N221" i="1"/>
  <c r="N225" i="1"/>
  <c r="N229" i="1"/>
  <c r="N233" i="1"/>
  <c r="N237" i="1"/>
  <c r="N241" i="1"/>
  <c r="N245" i="1"/>
  <c r="N249" i="1"/>
  <c r="N253" i="1"/>
  <c r="N257" i="1"/>
  <c r="N261" i="1"/>
  <c r="N265" i="1"/>
  <c r="N269" i="1"/>
  <c r="N273" i="1"/>
  <c r="N277" i="1"/>
  <c r="N281" i="1"/>
  <c r="N285" i="1"/>
  <c r="N289" i="1"/>
  <c r="N293" i="1"/>
  <c r="N297" i="1"/>
  <c r="N301" i="1"/>
  <c r="N305" i="1"/>
  <c r="N309" i="1"/>
  <c r="N313" i="1"/>
  <c r="N317" i="1"/>
  <c r="N321" i="1"/>
  <c r="N325" i="1"/>
  <c r="N329" i="1"/>
  <c r="N333" i="1"/>
  <c r="N337" i="1"/>
  <c r="N341" i="1"/>
  <c r="N345" i="1"/>
  <c r="N6" i="1"/>
  <c r="N10" i="1"/>
  <c r="N14" i="1"/>
  <c r="N16" i="1"/>
  <c r="N20" i="1"/>
  <c r="N26" i="1"/>
  <c r="N31" i="1"/>
  <c r="N36" i="1"/>
  <c r="N42" i="1"/>
  <c r="N47" i="1"/>
  <c r="N52" i="1"/>
  <c r="N58" i="1"/>
  <c r="N63" i="1"/>
  <c r="N68" i="1"/>
  <c r="N74" i="1"/>
  <c r="N79" i="1"/>
  <c r="N84" i="1"/>
  <c r="N90" i="1"/>
  <c r="N95" i="1"/>
  <c r="N100" i="1"/>
  <c r="N106" i="1"/>
  <c r="N111" i="1"/>
  <c r="N116" i="1"/>
  <c r="N122" i="1"/>
  <c r="N127" i="1"/>
  <c r="N132" i="1"/>
  <c r="N138" i="1"/>
  <c r="N143" i="1"/>
  <c r="N148" i="1"/>
  <c r="N154" i="1"/>
  <c r="N159" i="1"/>
  <c r="N164" i="1"/>
  <c r="N170" i="1"/>
  <c r="N175" i="1"/>
  <c r="N180" i="1"/>
  <c r="N186" i="1"/>
  <c r="N191" i="1"/>
  <c r="N196" i="1"/>
  <c r="N202" i="1"/>
  <c r="N207" i="1"/>
  <c r="N212" i="1"/>
  <c r="N7" i="1"/>
  <c r="N12" i="1"/>
  <c r="N18" i="1"/>
  <c r="N23" i="1"/>
  <c r="N28" i="1"/>
  <c r="N34" i="1"/>
  <c r="N39" i="1"/>
  <c r="N44" i="1"/>
  <c r="N50" i="1"/>
  <c r="N55" i="1"/>
  <c r="N60" i="1"/>
  <c r="N66" i="1"/>
  <c r="N71" i="1"/>
  <c r="N76" i="1"/>
  <c r="N82" i="1"/>
  <c r="N87" i="1"/>
  <c r="N92" i="1"/>
  <c r="N98" i="1"/>
  <c r="N103" i="1"/>
  <c r="N108" i="1"/>
  <c r="N114" i="1"/>
  <c r="N119" i="1"/>
  <c r="N124" i="1"/>
  <c r="N130" i="1"/>
  <c r="N135" i="1"/>
  <c r="N140" i="1"/>
  <c r="N146" i="1"/>
  <c r="N151" i="1"/>
  <c r="N156" i="1"/>
  <c r="N162" i="1"/>
  <c r="N167" i="1"/>
  <c r="N172" i="1"/>
  <c r="N178" i="1"/>
  <c r="N183" i="1"/>
  <c r="N188" i="1"/>
  <c r="N194" i="1"/>
  <c r="N199" i="1"/>
  <c r="N204" i="1"/>
  <c r="N210" i="1"/>
  <c r="N215" i="1"/>
  <c r="N220" i="1"/>
  <c r="N226" i="1"/>
  <c r="N231" i="1"/>
  <c r="N236" i="1"/>
  <c r="N242" i="1"/>
  <c r="N247" i="1"/>
  <c r="N252" i="1"/>
  <c r="N258" i="1"/>
  <c r="N274" i="1"/>
  <c r="N279" i="1"/>
  <c r="N284" i="1"/>
  <c r="N290" i="1"/>
  <c r="N295" i="1"/>
  <c r="N300" i="1"/>
  <c r="N306" i="1"/>
  <c r="N311" i="1"/>
  <c r="N316" i="1"/>
  <c r="N322" i="1"/>
  <c r="N327" i="1"/>
  <c r="N332" i="1"/>
  <c r="N343" i="1"/>
  <c r="N348" i="1"/>
  <c r="N352" i="1"/>
  <c r="N356" i="1"/>
  <c r="N360" i="1"/>
  <c r="N364" i="1"/>
  <c r="N368" i="1"/>
  <c r="N372" i="1"/>
  <c r="N376" i="1"/>
  <c r="N380" i="1"/>
  <c r="N384" i="1"/>
  <c r="N388" i="1"/>
  <c r="N392" i="1"/>
  <c r="N396" i="1"/>
  <c r="N400" i="1"/>
  <c r="N404" i="1"/>
  <c r="N408" i="1"/>
  <c r="N412" i="1"/>
  <c r="N416" i="1"/>
  <c r="N420" i="1"/>
  <c r="N424" i="1"/>
  <c r="N436" i="1"/>
  <c r="N440" i="1"/>
  <c r="N444" i="1"/>
  <c r="N448" i="1"/>
  <c r="N15" i="1"/>
  <c r="N24" i="1"/>
  <c r="N35" i="1"/>
  <c r="N46" i="1"/>
  <c r="N56" i="1"/>
  <c r="N67" i="1"/>
  <c r="N78" i="1"/>
  <c r="N88" i="1"/>
  <c r="N99" i="1"/>
  <c r="N110" i="1"/>
  <c r="N120" i="1"/>
  <c r="N131" i="1"/>
  <c r="N142" i="1"/>
  <c r="N152" i="1"/>
  <c r="N163" i="1"/>
  <c r="N184" i="1"/>
  <c r="N206" i="1"/>
  <c r="N216" i="1"/>
  <c r="N223" i="1"/>
  <c r="N230" i="1"/>
  <c r="N238" i="1"/>
  <c r="N244" i="1"/>
  <c r="N251" i="1"/>
  <c r="N259" i="1"/>
  <c r="N264" i="1"/>
  <c r="N270" i="1"/>
  <c r="N276" i="1"/>
  <c r="N283" i="1"/>
  <c r="N291" i="1"/>
  <c r="N298" i="1"/>
  <c r="N304" i="1"/>
  <c r="N312" i="1"/>
  <c r="N319" i="1"/>
  <c r="N326" i="1"/>
  <c r="N339" i="1"/>
  <c r="N346" i="1"/>
  <c r="N351" i="1"/>
  <c r="N357" i="1"/>
  <c r="N362" i="1"/>
  <c r="N367" i="1"/>
  <c r="N373" i="1"/>
  <c r="N378" i="1"/>
  <c r="N383" i="1"/>
  <c r="N389" i="1"/>
  <c r="N394" i="1"/>
  <c r="N399" i="1"/>
  <c r="N405" i="1"/>
  <c r="N410" i="1"/>
  <c r="N415" i="1"/>
  <c r="N421" i="1"/>
  <c r="N426" i="1"/>
  <c r="N430" i="1"/>
  <c r="N434" i="1"/>
  <c r="N439" i="1"/>
  <c r="N445" i="1"/>
  <c r="N450" i="1"/>
  <c r="N454" i="1"/>
  <c r="N458" i="1"/>
  <c r="N462" i="1"/>
  <c r="N466" i="1"/>
  <c r="N474" i="1"/>
  <c r="N478" i="1"/>
  <c r="N482" i="1"/>
  <c r="N490" i="1"/>
  <c r="N494" i="1"/>
  <c r="N498" i="1"/>
  <c r="N502" i="1"/>
  <c r="N506" i="1"/>
  <c r="N510" i="1"/>
  <c r="N514" i="1"/>
  <c r="N518" i="1"/>
  <c r="N522" i="1"/>
  <c r="N526" i="1"/>
  <c r="N530" i="1"/>
  <c r="N534" i="1"/>
  <c r="N538" i="1"/>
  <c r="N542" i="1"/>
  <c r="N546" i="1"/>
  <c r="N550" i="1"/>
  <c r="N554" i="1"/>
  <c r="N558" i="1"/>
  <c r="N562" i="1"/>
  <c r="N566" i="1"/>
  <c r="N570" i="1"/>
  <c r="N574" i="1"/>
  <c r="N578" i="1"/>
  <c r="N582" i="1"/>
  <c r="N586" i="1"/>
  <c r="N590" i="1"/>
  <c r="N594" i="1"/>
  <c r="N598" i="1"/>
  <c r="N602" i="1"/>
  <c r="N610" i="1"/>
  <c r="N614" i="1"/>
  <c r="N618" i="1"/>
  <c r="N622" i="1"/>
  <c r="N626" i="1"/>
  <c r="N630" i="1"/>
  <c r="N634" i="1"/>
  <c r="N638" i="1"/>
  <c r="N642" i="1"/>
  <c r="N646" i="1"/>
  <c r="N650" i="1"/>
  <c r="N654" i="1"/>
  <c r="N658" i="1"/>
  <c r="N662" i="1"/>
  <c r="N666" i="1"/>
  <c r="N670" i="1"/>
  <c r="N674" i="1"/>
  <c r="N678" i="1"/>
  <c r="N682" i="1"/>
  <c r="N686" i="1"/>
  <c r="N690" i="1"/>
  <c r="N694" i="1"/>
  <c r="N698" i="1"/>
  <c r="N702" i="1"/>
  <c r="N706" i="1"/>
  <c r="N710" i="1"/>
  <c r="N714" i="1"/>
  <c r="N718" i="1"/>
  <c r="N722" i="1"/>
  <c r="N726" i="1"/>
  <c r="N730" i="1"/>
  <c r="N734" i="1"/>
  <c r="N738" i="1"/>
  <c r="N742" i="1"/>
  <c r="N746" i="1"/>
  <c r="N750" i="1"/>
  <c r="N754" i="1"/>
  <c r="N758" i="1"/>
  <c r="N762" i="1"/>
  <c r="N766" i="1"/>
  <c r="N4" i="1"/>
  <c r="M11" i="1"/>
  <c r="N8" i="1"/>
  <c r="N27" i="1"/>
  <c r="N38" i="1"/>
  <c r="N48" i="1"/>
  <c r="N59" i="1"/>
  <c r="N70" i="1"/>
  <c r="N91" i="1"/>
  <c r="N102" i="1"/>
  <c r="N112" i="1"/>
  <c r="N123" i="1"/>
  <c r="N134" i="1"/>
  <c r="N144" i="1"/>
  <c r="N155" i="1"/>
  <c r="N166" i="1"/>
  <c r="N176" i="1"/>
  <c r="N187" i="1"/>
  <c r="N198" i="1"/>
  <c r="N208" i="1"/>
  <c r="N218" i="1"/>
  <c r="N232" i="1"/>
  <c r="N239" i="1"/>
  <c r="N246" i="1"/>
  <c r="N254" i="1"/>
  <c r="N260" i="1"/>
  <c r="N266" i="1"/>
  <c r="N278" i="1"/>
  <c r="N286" i="1"/>
  <c r="N292" i="1"/>
  <c r="N19" i="1"/>
  <c r="N30" i="1"/>
  <c r="N40" i="1"/>
  <c r="N72" i="1"/>
  <c r="N94" i="1"/>
  <c r="N104" i="1"/>
  <c r="N115" i="1"/>
  <c r="N126" i="1"/>
  <c r="N136" i="1"/>
  <c r="N147" i="1"/>
  <c r="N158" i="1"/>
  <c r="N168" i="1"/>
  <c r="N179" i="1"/>
  <c r="N190" i="1"/>
  <c r="N200" i="1"/>
  <c r="N211" i="1"/>
  <c r="N219" i="1"/>
  <c r="N227" i="1"/>
  <c r="N234" i="1"/>
  <c r="N240" i="1"/>
  <c r="N248" i="1"/>
  <c r="N255" i="1"/>
  <c r="N262" i="1"/>
  <c r="N267" i="1"/>
  <c r="N272" i="1"/>
  <c r="N280" i="1"/>
  <c r="N287" i="1"/>
  <c r="N294" i="1"/>
  <c r="N308" i="1"/>
  <c r="N315" i="1"/>
  <c r="N323" i="1"/>
  <c r="N330" i="1"/>
  <c r="N336" i="1"/>
  <c r="N342" i="1"/>
  <c r="N354" i="1"/>
  <c r="N365" i="1"/>
  <c r="N370" i="1"/>
  <c r="N375" i="1"/>
  <c r="N381" i="1"/>
  <c r="N386" i="1"/>
  <c r="N391" i="1"/>
  <c r="N397" i="1"/>
  <c r="N402" i="1"/>
  <c r="N407" i="1"/>
  <c r="N413" i="1"/>
  <c r="N418" i="1"/>
  <c r="N423" i="1"/>
  <c r="N442" i="1"/>
  <c r="N447" i="1"/>
  <c r="N452" i="1"/>
  <c r="N456" i="1"/>
  <c r="N460" i="1"/>
  <c r="N464" i="1"/>
  <c r="N468" i="1"/>
  <c r="N472" i="1"/>
  <c r="N476" i="1"/>
  <c r="N480" i="1"/>
  <c r="N484" i="1"/>
  <c r="N488" i="1"/>
  <c r="N492" i="1"/>
  <c r="N500" i="1"/>
  <c r="N504" i="1"/>
  <c r="N508" i="1"/>
  <c r="N512" i="1"/>
  <c r="N516" i="1"/>
  <c r="N520" i="1"/>
  <c r="N528" i="1"/>
  <c r="N532" i="1"/>
  <c r="N536" i="1"/>
  <c r="N540" i="1"/>
  <c r="N544" i="1"/>
  <c r="N548" i="1"/>
  <c r="N552" i="1"/>
  <c r="N556" i="1"/>
  <c r="N560" i="1"/>
  <c r="N564" i="1"/>
  <c r="N568" i="1"/>
  <c r="N572" i="1"/>
  <c r="N576" i="1"/>
  <c r="N580" i="1"/>
  <c r="N584" i="1"/>
  <c r="N588" i="1"/>
  <c r="N592" i="1"/>
  <c r="N596" i="1"/>
  <c r="N600" i="1"/>
  <c r="N604" i="1"/>
  <c r="N608" i="1"/>
  <c r="N612" i="1"/>
  <c r="N616" i="1"/>
  <c r="N620" i="1"/>
  <c r="N624" i="1"/>
  <c r="N628" i="1"/>
  <c r="N632" i="1"/>
  <c r="N636" i="1"/>
  <c r="N640" i="1"/>
  <c r="N644" i="1"/>
  <c r="N648" i="1"/>
  <c r="N652" i="1"/>
  <c r="N656" i="1"/>
  <c r="N660" i="1"/>
  <c r="N664" i="1"/>
  <c r="N668" i="1"/>
  <c r="N672" i="1"/>
  <c r="N676" i="1"/>
  <c r="N680" i="1"/>
  <c r="N684" i="1"/>
  <c r="N688" i="1"/>
  <c r="N692" i="1"/>
  <c r="N696" i="1"/>
  <c r="N700" i="1"/>
  <c r="N704" i="1"/>
  <c r="N712" i="1"/>
  <c r="N716" i="1"/>
  <c r="N720" i="1"/>
  <c r="N724" i="1"/>
  <c r="N728" i="1"/>
  <c r="N732" i="1"/>
  <c r="N736" i="1"/>
  <c r="N740" i="1"/>
  <c r="N744" i="1"/>
  <c r="N748" i="1"/>
  <c r="N752" i="1"/>
  <c r="N756" i="1"/>
  <c r="N760" i="1"/>
  <c r="N764" i="1"/>
  <c r="N768" i="1"/>
  <c r="M3" i="1"/>
  <c r="N32" i="1"/>
  <c r="N118" i="1"/>
  <c r="N160" i="1"/>
  <c r="N192" i="1"/>
  <c r="N222" i="1"/>
  <c r="N243" i="1"/>
  <c r="N288" i="1"/>
  <c r="N303" i="1"/>
  <c r="N318" i="1"/>
  <c r="N331" i="1"/>
  <c r="N340" i="1"/>
  <c r="N350" i="1"/>
  <c r="N369" i="1"/>
  <c r="N379" i="1"/>
  <c r="N390" i="1"/>
  <c r="N401" i="1"/>
  <c r="N411" i="1"/>
  <c r="N422" i="1"/>
  <c r="N429" i="1"/>
  <c r="N435" i="1"/>
  <c r="N443" i="1"/>
  <c r="N453" i="1"/>
  <c r="N461" i="1"/>
  <c r="N469" i="1"/>
  <c r="N475" i="1"/>
  <c r="N483" i="1"/>
  <c r="N489" i="1"/>
  <c r="N503" i="1"/>
  <c r="N511" i="1"/>
  <c r="N519" i="1"/>
  <c r="N525" i="1"/>
  <c r="N533" i="1"/>
  <c r="N541" i="1"/>
  <c r="N549" i="1"/>
  <c r="N557" i="1"/>
  <c r="N565" i="1"/>
  <c r="N573" i="1"/>
  <c r="N581" i="1"/>
  <c r="N589" i="1"/>
  <c r="N597" i="1"/>
  <c r="N605" i="1"/>
  <c r="N611" i="1"/>
  <c r="N619" i="1"/>
  <c r="N627" i="1"/>
  <c r="N635" i="1"/>
  <c r="N643" i="1"/>
  <c r="N651" i="1"/>
  <c r="N659" i="1"/>
  <c r="N667" i="1"/>
  <c r="N675" i="1"/>
  <c r="N683" i="1"/>
  <c r="N691" i="1"/>
  <c r="N707" i="1"/>
  <c r="N713" i="1"/>
  <c r="N721" i="1"/>
  <c r="N729" i="1"/>
  <c r="N737" i="1"/>
  <c r="N745" i="1"/>
  <c r="N753" i="1"/>
  <c r="N761" i="1"/>
  <c r="N769" i="1"/>
  <c r="M15" i="1"/>
  <c r="N11" i="1"/>
  <c r="N43" i="1"/>
  <c r="N64" i="1"/>
  <c r="N86" i="1"/>
  <c r="N128" i="1"/>
  <c r="N171" i="1"/>
  <c r="N250" i="1"/>
  <c r="N296" i="1"/>
  <c r="N307" i="1"/>
  <c r="N320" i="1"/>
  <c r="N344" i="1"/>
  <c r="N353" i="1"/>
  <c r="N361" i="1"/>
  <c r="N371" i="1"/>
  <c r="N382" i="1"/>
  <c r="N393" i="1"/>
  <c r="N403" i="1"/>
  <c r="N414" i="1"/>
  <c r="N425" i="1"/>
  <c r="N431" i="1"/>
  <c r="N446" i="1"/>
  <c r="N463" i="1"/>
  <c r="N477" i="1"/>
  <c r="N485" i="1"/>
  <c r="N491" i="1"/>
  <c r="N497" i="1"/>
  <c r="N505" i="1"/>
  <c r="N513" i="1"/>
  <c r="N521" i="1"/>
  <c r="N527" i="1"/>
  <c r="N543" i="1"/>
  <c r="N551" i="1"/>
  <c r="N559" i="1"/>
  <c r="N567" i="1"/>
  <c r="N575" i="1"/>
  <c r="N583" i="1"/>
  <c r="N599" i="1"/>
  <c r="N613" i="1"/>
  <c r="N629" i="1"/>
  <c r="N75" i="1"/>
  <c r="N96" i="1"/>
  <c r="N139" i="1"/>
  <c r="N203" i="1"/>
  <c r="N228" i="1"/>
  <c r="N256" i="1"/>
  <c r="N275" i="1"/>
  <c r="N299" i="1"/>
  <c r="N310" i="1"/>
  <c r="N324" i="1"/>
  <c r="N335" i="1"/>
  <c r="N347" i="1"/>
  <c r="N355" i="1"/>
  <c r="N363" i="1"/>
  <c r="N374" i="1"/>
  <c r="N385" i="1"/>
  <c r="N395" i="1"/>
  <c r="N406" i="1"/>
  <c r="N417" i="1"/>
  <c r="N427" i="1"/>
  <c r="N438" i="1"/>
  <c r="N449" i="1"/>
  <c r="N457" i="1"/>
  <c r="N465" i="1"/>
  <c r="N471" i="1"/>
  <c r="N479" i="1"/>
  <c r="N493" i="1"/>
  <c r="N499" i="1"/>
  <c r="N507" i="1"/>
  <c r="N515" i="1"/>
  <c r="N523" i="1"/>
  <c r="N529" i="1"/>
  <c r="N545" i="1"/>
  <c r="N553" i="1"/>
  <c r="N561" i="1"/>
  <c r="N569" i="1"/>
  <c r="N577" i="1"/>
  <c r="N585" i="1"/>
  <c r="N593" i="1"/>
  <c r="N601" i="1"/>
  <c r="N607" i="1"/>
  <c r="N615" i="1"/>
  <c r="N623" i="1"/>
  <c r="N631" i="1"/>
  <c r="N639" i="1"/>
  <c r="N647" i="1"/>
  <c r="N655" i="1"/>
  <c r="N663" i="1"/>
  <c r="N671" i="1"/>
  <c r="N679" i="1"/>
  <c r="N687" i="1"/>
  <c r="N695" i="1"/>
  <c r="N703" i="1"/>
  <c r="N709" i="1"/>
  <c r="N717" i="1"/>
  <c r="N725" i="1"/>
  <c r="N733" i="1"/>
  <c r="N741" i="1"/>
  <c r="N749" i="1"/>
  <c r="N757" i="1"/>
  <c r="N765" i="1"/>
  <c r="N54" i="1"/>
  <c r="N107" i="1"/>
  <c r="N366" i="1"/>
  <c r="N409" i="1"/>
  <c r="N433" i="1"/>
  <c r="N473" i="1"/>
  <c r="N495" i="1"/>
  <c r="N517" i="1"/>
  <c r="N563" i="1"/>
  <c r="N609" i="1"/>
  <c r="N633" i="1"/>
  <c r="N649" i="1"/>
  <c r="N665" i="1"/>
  <c r="N681" i="1"/>
  <c r="N697" i="1"/>
  <c r="N723" i="1"/>
  <c r="N739" i="1"/>
  <c r="N755" i="1"/>
  <c r="N3" i="1"/>
  <c r="N150" i="1"/>
  <c r="N214" i="1"/>
  <c r="N314" i="1"/>
  <c r="N377" i="1"/>
  <c r="N419" i="1"/>
  <c r="N459" i="1"/>
  <c r="N481" i="1"/>
  <c r="N539" i="1"/>
  <c r="N571" i="1"/>
  <c r="N595" i="1"/>
  <c r="N617" i="1"/>
  <c r="N637" i="1"/>
  <c r="N653" i="1"/>
  <c r="N669" i="1"/>
  <c r="N685" i="1"/>
  <c r="N711" i="1"/>
  <c r="N727" i="1"/>
  <c r="N743" i="1"/>
  <c r="N759" i="1"/>
  <c r="N22" i="1"/>
  <c r="N328" i="1"/>
  <c r="N358" i="1"/>
  <c r="N387" i="1"/>
  <c r="N441" i="1"/>
  <c r="N467" i="1"/>
  <c r="N501" i="1"/>
  <c r="N531" i="1"/>
  <c r="N547" i="1"/>
  <c r="N579" i="1"/>
  <c r="N641" i="1"/>
  <c r="N657" i="1"/>
  <c r="N673" i="1"/>
  <c r="N689" i="1"/>
  <c r="N701" i="1"/>
  <c r="N715" i="1"/>
  <c r="N731" i="1"/>
  <c r="N747" i="1"/>
  <c r="N763" i="1"/>
  <c r="M7" i="1"/>
  <c r="N398" i="1"/>
  <c r="N451" i="1"/>
  <c r="N487" i="1"/>
  <c r="N625" i="1"/>
  <c r="N693" i="1"/>
  <c r="N719" i="1"/>
  <c r="N735" i="1"/>
  <c r="N235" i="1"/>
  <c r="N282" i="1"/>
  <c r="N509" i="1"/>
  <c r="N555" i="1"/>
  <c r="N661" i="1"/>
  <c r="N751" i="1"/>
  <c r="N182" i="1"/>
  <c r="N587" i="1"/>
  <c r="N677" i="1"/>
  <c r="N767" i="1"/>
  <c r="L13" i="1"/>
  <c r="L21" i="1"/>
  <c r="L25" i="1"/>
  <c r="L29" i="1"/>
  <c r="L33" i="1"/>
  <c r="L37" i="1"/>
  <c r="L41" i="1"/>
  <c r="L45" i="1"/>
  <c r="L49" i="1"/>
  <c r="L53" i="1"/>
  <c r="L57" i="1"/>
  <c r="L61" i="1"/>
  <c r="L65" i="1"/>
  <c r="L69" i="1"/>
  <c r="L73" i="1"/>
  <c r="L77" i="1"/>
  <c r="L81" i="1"/>
  <c r="L85" i="1"/>
  <c r="L89" i="1"/>
  <c r="L93" i="1"/>
  <c r="L97" i="1"/>
  <c r="L101" i="1"/>
  <c r="L105" i="1"/>
  <c r="L109" i="1"/>
  <c r="L113" i="1"/>
  <c r="L117" i="1"/>
  <c r="L121" i="1"/>
  <c r="L125" i="1"/>
  <c r="L129" i="1"/>
  <c r="L133" i="1"/>
  <c r="L137" i="1"/>
  <c r="L141" i="1"/>
  <c r="L145" i="1"/>
  <c r="L149" i="1"/>
  <c r="L153" i="1"/>
  <c r="L11" i="1"/>
  <c r="L15" i="1"/>
  <c r="L19" i="1"/>
  <c r="L23" i="1"/>
  <c r="L27" i="1"/>
  <c r="L31" i="1"/>
  <c r="L35" i="1"/>
  <c r="L39" i="1"/>
  <c r="L43" i="1"/>
  <c r="L47" i="1"/>
  <c r="L55" i="1"/>
  <c r="L59" i="1"/>
  <c r="L63" i="1"/>
  <c r="L67" i="1"/>
  <c r="L71" i="1"/>
  <c r="L75" i="1"/>
  <c r="L79" i="1"/>
  <c r="L87" i="1"/>
  <c r="L91" i="1"/>
  <c r="L95" i="1"/>
  <c r="L99" i="1"/>
  <c r="L103" i="1"/>
  <c r="L107" i="1"/>
  <c r="L111" i="1"/>
  <c r="L115" i="1"/>
  <c r="L119" i="1"/>
  <c r="L12" i="1"/>
  <c r="L18" i="1"/>
  <c r="L26" i="1"/>
  <c r="L34" i="1"/>
  <c r="L42" i="1"/>
  <c r="L50" i="1"/>
  <c r="L56" i="1"/>
  <c r="L64" i="1"/>
  <c r="L72" i="1"/>
  <c r="L86" i="1"/>
  <c r="L94" i="1"/>
  <c r="L102" i="1"/>
  <c r="L110" i="1"/>
  <c r="L118" i="1"/>
  <c r="L124" i="1"/>
  <c r="L130" i="1"/>
  <c r="L135" i="1"/>
  <c r="L140" i="1"/>
  <c r="L146" i="1"/>
  <c r="L151" i="1"/>
  <c r="L156" i="1"/>
  <c r="L160" i="1"/>
  <c r="L164" i="1"/>
  <c r="L168" i="1"/>
  <c r="L172" i="1"/>
  <c r="L176" i="1"/>
  <c r="L180" i="1"/>
  <c r="L184" i="1"/>
  <c r="L188" i="1"/>
  <c r="L192" i="1"/>
  <c r="L196" i="1"/>
  <c r="L200" i="1"/>
  <c r="L204" i="1"/>
  <c r="L208" i="1"/>
  <c r="L212" i="1"/>
  <c r="L216" i="1"/>
  <c r="L220" i="1"/>
  <c r="L228" i="1"/>
  <c r="L232" i="1"/>
  <c r="L236" i="1"/>
  <c r="L240" i="1"/>
  <c r="L244" i="1"/>
  <c r="L248" i="1"/>
  <c r="L252" i="1"/>
  <c r="L256" i="1"/>
  <c r="L260" i="1"/>
  <c r="L264" i="1"/>
  <c r="L272" i="1"/>
  <c r="L276" i="1"/>
  <c r="L280" i="1"/>
  <c r="L284" i="1"/>
  <c r="L288" i="1"/>
  <c r="L292" i="1"/>
  <c r="L296" i="1"/>
  <c r="L300" i="1"/>
  <c r="L304" i="1"/>
  <c r="L308" i="1"/>
  <c r="L312" i="1"/>
  <c r="L316" i="1"/>
  <c r="L320" i="1"/>
  <c r="L324" i="1"/>
  <c r="L328" i="1"/>
  <c r="L332" i="1"/>
  <c r="L336" i="1"/>
  <c r="L340" i="1"/>
  <c r="L344" i="1"/>
  <c r="L348" i="1"/>
  <c r="L352" i="1"/>
  <c r="L356" i="1"/>
  <c r="L360" i="1"/>
  <c r="L364" i="1"/>
  <c r="L368" i="1"/>
  <c r="L372" i="1"/>
  <c r="L376" i="1"/>
  <c r="L380" i="1"/>
  <c r="L384" i="1"/>
  <c r="L388" i="1"/>
  <c r="L392" i="1"/>
  <c r="L396" i="1"/>
  <c r="L400" i="1"/>
  <c r="L404" i="1"/>
  <c r="L408" i="1"/>
  <c r="L412" i="1"/>
  <c r="L416" i="1"/>
  <c r="L420" i="1"/>
  <c r="L16" i="1"/>
  <c r="L22" i="1"/>
  <c r="L30" i="1"/>
  <c r="L38" i="1"/>
  <c r="L46" i="1"/>
  <c r="L52" i="1"/>
  <c r="L60" i="1"/>
  <c r="L68" i="1"/>
  <c r="L76" i="1"/>
  <c r="L90" i="1"/>
  <c r="L98" i="1"/>
  <c r="L106" i="1"/>
  <c r="L114" i="1"/>
  <c r="L122" i="1"/>
  <c r="L127" i="1"/>
  <c r="L132" i="1"/>
  <c r="L138" i="1"/>
  <c r="L143" i="1"/>
  <c r="L148" i="1"/>
  <c r="L154" i="1"/>
  <c r="L158" i="1"/>
  <c r="L162" i="1"/>
  <c r="L166" i="1"/>
  <c r="L170" i="1"/>
  <c r="L178" i="1"/>
  <c r="L182" i="1"/>
  <c r="L186" i="1"/>
  <c r="L190" i="1"/>
  <c r="L194" i="1"/>
  <c r="L198" i="1"/>
  <c r="L202" i="1"/>
  <c r="L206" i="1"/>
  <c r="L210" i="1"/>
  <c r="L214" i="1"/>
  <c r="L218" i="1"/>
  <c r="L222" i="1"/>
  <c r="L226" i="1"/>
  <c r="L230" i="1"/>
  <c r="L234" i="1"/>
  <c r="L238" i="1"/>
  <c r="L242" i="1"/>
  <c r="L246" i="1"/>
  <c r="L250" i="1"/>
  <c r="L254" i="1"/>
  <c r="L258" i="1"/>
  <c r="L262" i="1"/>
  <c r="L266" i="1"/>
  <c r="L270" i="1"/>
  <c r="L274" i="1"/>
  <c r="L278" i="1"/>
  <c r="L282" i="1"/>
  <c r="L286" i="1"/>
  <c r="L290" i="1"/>
  <c r="L294" i="1"/>
  <c r="L298" i="1"/>
  <c r="L306" i="1"/>
  <c r="L310" i="1"/>
  <c r="L314" i="1"/>
  <c r="L318" i="1"/>
  <c r="L322" i="1"/>
  <c r="L326" i="1"/>
  <c r="L330" i="1"/>
  <c r="L342" i="1"/>
  <c r="L346" i="1"/>
  <c r="L350" i="1"/>
  <c r="L354" i="1"/>
  <c r="L358" i="1"/>
  <c r="L362" i="1"/>
  <c r="L366" i="1"/>
  <c r="L370" i="1"/>
  <c r="L374" i="1"/>
  <c r="L378" i="1"/>
  <c r="L382" i="1"/>
  <c r="L386" i="1"/>
  <c r="L390" i="1"/>
  <c r="L394" i="1"/>
  <c r="L398" i="1"/>
  <c r="L402" i="1"/>
  <c r="L406" i="1"/>
  <c r="L410" i="1"/>
  <c r="L414" i="1"/>
  <c r="L418" i="1"/>
  <c r="L422" i="1"/>
  <c r="L426" i="1"/>
  <c r="L430" i="1"/>
  <c r="L434" i="1"/>
  <c r="L438" i="1"/>
  <c r="L442" i="1"/>
  <c r="L446" i="1"/>
  <c r="L450" i="1"/>
  <c r="L454" i="1"/>
  <c r="L458" i="1"/>
  <c r="L462" i="1"/>
  <c r="L466" i="1"/>
  <c r="L474" i="1"/>
  <c r="L478" i="1"/>
  <c r="L482" i="1"/>
  <c r="L490" i="1"/>
  <c r="L494" i="1"/>
  <c r="L498" i="1"/>
  <c r="L502" i="1"/>
  <c r="L506" i="1"/>
  <c r="L510" i="1"/>
  <c r="L514" i="1"/>
  <c r="L518" i="1"/>
  <c r="L522" i="1"/>
  <c r="L526" i="1"/>
  <c r="L530" i="1"/>
  <c r="L534" i="1"/>
  <c r="L20" i="1"/>
  <c r="L36" i="1"/>
  <c r="L66" i="1"/>
  <c r="L88" i="1"/>
  <c r="L104" i="1"/>
  <c r="L120" i="1"/>
  <c r="L131" i="1"/>
  <c r="L142" i="1"/>
  <c r="L152" i="1"/>
  <c r="L161" i="1"/>
  <c r="L169" i="1"/>
  <c r="L10" i="1"/>
  <c r="L24" i="1"/>
  <c r="L40" i="1"/>
  <c r="L54" i="1"/>
  <c r="L70" i="1"/>
  <c r="L82" i="1"/>
  <c r="L92" i="1"/>
  <c r="L108" i="1"/>
  <c r="L123" i="1"/>
  <c r="L134" i="1"/>
  <c r="L144" i="1"/>
  <c r="L155" i="1"/>
  <c r="L163" i="1"/>
  <c r="L171" i="1"/>
  <c r="L177" i="1"/>
  <c r="L185" i="1"/>
  <c r="L193" i="1"/>
  <c r="L201" i="1"/>
  <c r="L209" i="1"/>
  <c r="L217" i="1"/>
  <c r="L231" i="1"/>
  <c r="L239" i="1"/>
  <c r="L247" i="1"/>
  <c r="L255" i="1"/>
  <c r="L269" i="1"/>
  <c r="L277" i="1"/>
  <c r="L285" i="1"/>
  <c r="L293" i="1"/>
  <c r="L301" i="1"/>
  <c r="L307" i="1"/>
  <c r="L315" i="1"/>
  <c r="L323" i="1"/>
  <c r="L331" i="1"/>
  <c r="L337" i="1"/>
  <c r="L343" i="1"/>
  <c r="L351" i="1"/>
  <c r="L367" i="1"/>
  <c r="L375" i="1"/>
  <c r="L383" i="1"/>
  <c r="L391" i="1"/>
  <c r="L399" i="1"/>
  <c r="L407" i="1"/>
  <c r="L415" i="1"/>
  <c r="L423" i="1"/>
  <c r="L433" i="1"/>
  <c r="L439" i="1"/>
  <c r="L444" i="1"/>
  <c r="L449" i="1"/>
  <c r="L460" i="1"/>
  <c r="L465" i="1"/>
  <c r="L475" i="1"/>
  <c r="L480" i="1"/>
  <c r="L485" i="1"/>
  <c r="L489" i="1"/>
  <c r="L495" i="1"/>
  <c r="L500" i="1"/>
  <c r="L505" i="1"/>
  <c r="L511" i="1"/>
  <c r="L516" i="1"/>
  <c r="L521" i="1"/>
  <c r="L527" i="1"/>
  <c r="L532" i="1"/>
  <c r="L541" i="1"/>
  <c r="L545" i="1"/>
  <c r="L549" i="1"/>
  <c r="L553" i="1"/>
  <c r="L14" i="1"/>
  <c r="L28" i="1"/>
  <c r="L44" i="1"/>
  <c r="L58" i="1"/>
  <c r="L74" i="1"/>
  <c r="L96" i="1"/>
  <c r="L112" i="1"/>
  <c r="L126" i="1"/>
  <c r="L136" i="1"/>
  <c r="L147" i="1"/>
  <c r="L157" i="1"/>
  <c r="L165" i="1"/>
  <c r="L173" i="1"/>
  <c r="L179" i="1"/>
  <c r="L187" i="1"/>
  <c r="L203" i="1"/>
  <c r="L211" i="1"/>
  <c r="L219" i="1"/>
  <c r="L225" i="1"/>
  <c r="L233" i="1"/>
  <c r="L241" i="1"/>
  <c r="L249" i="1"/>
  <c r="L257" i="1"/>
  <c r="L265" i="1"/>
  <c r="L279" i="1"/>
  <c r="L287" i="1"/>
  <c r="L295" i="1"/>
  <c r="L309" i="1"/>
  <c r="L317" i="1"/>
  <c r="L325" i="1"/>
  <c r="L333" i="1"/>
  <c r="L345" i="1"/>
  <c r="L353" i="1"/>
  <c r="L361" i="1"/>
  <c r="L369" i="1"/>
  <c r="L377" i="1"/>
  <c r="L385" i="1"/>
  <c r="L393" i="1"/>
  <c r="L401" i="1"/>
  <c r="L409" i="1"/>
  <c r="L417" i="1"/>
  <c r="L424" i="1"/>
  <c r="L429" i="1"/>
  <c r="L435" i="1"/>
  <c r="L440" i="1"/>
  <c r="L445" i="1"/>
  <c r="L451" i="1"/>
  <c r="L456" i="1"/>
  <c r="L461" i="1"/>
  <c r="L467" i="1"/>
  <c r="L471" i="1"/>
  <c r="L476" i="1"/>
  <c r="L481" i="1"/>
  <c r="L491" i="1"/>
  <c r="L501" i="1"/>
  <c r="L507" i="1"/>
  <c r="L512" i="1"/>
  <c r="L517" i="1"/>
  <c r="L523" i="1"/>
  <c r="L528" i="1"/>
  <c r="L533" i="1"/>
  <c r="L32" i="1"/>
  <c r="L78" i="1"/>
  <c r="L100" i="1"/>
  <c r="L150" i="1"/>
  <c r="L175" i="1"/>
  <c r="L191" i="1"/>
  <c r="L205" i="1"/>
  <c r="L221" i="1"/>
  <c r="L229" i="1"/>
  <c r="L245" i="1"/>
  <c r="L261" i="1"/>
  <c r="L283" i="1"/>
  <c r="L299" i="1"/>
  <c r="L311" i="1"/>
  <c r="L327" i="1"/>
  <c r="L363" i="1"/>
  <c r="L379" i="1"/>
  <c r="L395" i="1"/>
  <c r="L411" i="1"/>
  <c r="L425" i="1"/>
  <c r="L443" i="1"/>
  <c r="L453" i="1"/>
  <c r="L463" i="1"/>
  <c r="L479" i="1"/>
  <c r="L487" i="1"/>
  <c r="L504" i="1"/>
  <c r="L515" i="1"/>
  <c r="L525" i="1"/>
  <c r="L536" i="1"/>
  <c r="L540" i="1"/>
  <c r="L546" i="1"/>
  <c r="L551" i="1"/>
  <c r="L556" i="1"/>
  <c r="L560" i="1"/>
  <c r="L564" i="1"/>
  <c r="L568" i="1"/>
  <c r="L572" i="1"/>
  <c r="L576" i="1"/>
  <c r="L580" i="1"/>
  <c r="L584" i="1"/>
  <c r="L588" i="1"/>
  <c r="L592" i="1"/>
  <c r="L596" i="1"/>
  <c r="L600" i="1"/>
  <c r="L604" i="1"/>
  <c r="L608" i="1"/>
  <c r="L612" i="1"/>
  <c r="L616" i="1"/>
  <c r="L620" i="1"/>
  <c r="L624" i="1"/>
  <c r="L628" i="1"/>
  <c r="L632" i="1"/>
  <c r="L636" i="1"/>
  <c r="L640" i="1"/>
  <c r="L644" i="1"/>
  <c r="L648" i="1"/>
  <c r="L652" i="1"/>
  <c r="L656" i="1"/>
  <c r="L660" i="1"/>
  <c r="L664" i="1"/>
  <c r="L668" i="1"/>
  <c r="L672" i="1"/>
  <c r="L676" i="1"/>
  <c r="L680" i="1"/>
  <c r="L684" i="1"/>
  <c r="L688" i="1"/>
  <c r="L692" i="1"/>
  <c r="L696" i="1"/>
  <c r="L700" i="1"/>
  <c r="L704" i="1"/>
  <c r="L712" i="1"/>
  <c r="L716" i="1"/>
  <c r="L720" i="1"/>
  <c r="L724" i="1"/>
  <c r="L728" i="1"/>
  <c r="L732" i="1"/>
  <c r="L736" i="1"/>
  <c r="L740" i="1"/>
  <c r="L744" i="1"/>
  <c r="L748" i="1"/>
  <c r="L752" i="1"/>
  <c r="L756" i="1"/>
  <c r="L760" i="1"/>
  <c r="L764" i="1"/>
  <c r="L768" i="1"/>
  <c r="L5" i="1"/>
  <c r="K15" i="1"/>
  <c r="K3" i="1"/>
  <c r="L48" i="1"/>
  <c r="L116" i="1"/>
  <c r="L159" i="1"/>
  <c r="L181" i="1"/>
  <c r="L207" i="1"/>
  <c r="L223" i="1"/>
  <c r="L235" i="1"/>
  <c r="L251" i="1"/>
  <c r="L273" i="1"/>
  <c r="L289" i="1"/>
  <c r="L313" i="1"/>
  <c r="L329" i="1"/>
  <c r="L339" i="1"/>
  <c r="L355" i="1"/>
  <c r="L365" i="1"/>
  <c r="L381" i="1"/>
  <c r="L397" i="1"/>
  <c r="L413" i="1"/>
  <c r="L427" i="1"/>
  <c r="L436" i="1"/>
  <c r="L447" i="1"/>
  <c r="L464" i="1"/>
  <c r="L472" i="1"/>
  <c r="L483" i="1"/>
  <c r="L488" i="1"/>
  <c r="L497" i="1"/>
  <c r="L508" i="1"/>
  <c r="L519" i="1"/>
  <c r="L529" i="1"/>
  <c r="L542" i="1"/>
  <c r="L547" i="1"/>
  <c r="L552" i="1"/>
  <c r="L557" i="1"/>
  <c r="L561" i="1"/>
  <c r="L565" i="1"/>
  <c r="L569" i="1"/>
  <c r="L573" i="1"/>
  <c r="L577" i="1"/>
  <c r="L581" i="1"/>
  <c r="L585" i="1"/>
  <c r="L589" i="1"/>
  <c r="L593" i="1"/>
  <c r="L597" i="1"/>
  <c r="L601" i="1"/>
  <c r="L605" i="1"/>
  <c r="L609" i="1"/>
  <c r="L613" i="1"/>
  <c r="L617" i="1"/>
  <c r="L625" i="1"/>
  <c r="L629" i="1"/>
  <c r="L633" i="1"/>
  <c r="L637" i="1"/>
  <c r="L641" i="1"/>
  <c r="L649" i="1"/>
  <c r="L653" i="1"/>
  <c r="L657" i="1"/>
  <c r="L661" i="1"/>
  <c r="L665" i="1"/>
  <c r="L669" i="1"/>
  <c r="L673" i="1"/>
  <c r="L677" i="1"/>
  <c r="L681" i="1"/>
  <c r="L685" i="1"/>
  <c r="L689" i="1"/>
  <c r="L693" i="1"/>
  <c r="L697" i="1"/>
  <c r="L701" i="1"/>
  <c r="L709" i="1"/>
  <c r="L713" i="1"/>
  <c r="L717" i="1"/>
  <c r="L721" i="1"/>
  <c r="L725" i="1"/>
  <c r="L729" i="1"/>
  <c r="L733" i="1"/>
  <c r="L737" i="1"/>
  <c r="L741" i="1"/>
  <c r="L745" i="1"/>
  <c r="L749" i="1"/>
  <c r="L753" i="1"/>
  <c r="L757" i="1"/>
  <c r="L761" i="1"/>
  <c r="L765" i="1"/>
  <c r="L769" i="1"/>
  <c r="L6" i="1"/>
  <c r="K6" i="1"/>
  <c r="L659" i="1"/>
  <c r="L671" i="1"/>
  <c r="L679" i="1"/>
  <c r="L683" i="1"/>
  <c r="L691" i="1"/>
  <c r="L703" i="1"/>
  <c r="L711" i="1"/>
  <c r="L719" i="1"/>
  <c r="L723" i="1"/>
  <c r="L731" i="1"/>
  <c r="L739" i="1"/>
  <c r="L747" i="1"/>
  <c r="L755" i="1"/>
  <c r="L763" i="1"/>
  <c r="L3" i="1"/>
  <c r="L128" i="1"/>
  <c r="L167" i="1"/>
  <c r="L183" i="1"/>
  <c r="L197" i="1"/>
  <c r="L213" i="1"/>
  <c r="L237" i="1"/>
  <c r="L253" i="1"/>
  <c r="L267" i="1"/>
  <c r="L275" i="1"/>
  <c r="L291" i="1"/>
  <c r="L303" i="1"/>
  <c r="L319" i="1"/>
  <c r="L341" i="1"/>
  <c r="L357" i="1"/>
  <c r="L371" i="1"/>
  <c r="L387" i="1"/>
  <c r="L403" i="1"/>
  <c r="L419" i="1"/>
  <c r="L448" i="1"/>
  <c r="L457" i="1"/>
  <c r="L468" i="1"/>
  <c r="L473" i="1"/>
  <c r="L484" i="1"/>
  <c r="L492" i="1"/>
  <c r="L499" i="1"/>
  <c r="L509" i="1"/>
  <c r="L520" i="1"/>
  <c r="L531" i="1"/>
  <c r="L538" i="1"/>
  <c r="L543" i="1"/>
  <c r="L548" i="1"/>
  <c r="L554" i="1"/>
  <c r="L558" i="1"/>
  <c r="L562" i="1"/>
  <c r="L566" i="1"/>
  <c r="L570" i="1"/>
  <c r="L574" i="1"/>
  <c r="L578" i="1"/>
  <c r="L582" i="1"/>
  <c r="L586" i="1"/>
  <c r="L590" i="1"/>
  <c r="L594" i="1"/>
  <c r="L598" i="1"/>
  <c r="L602" i="1"/>
  <c r="L610" i="1"/>
  <c r="L614" i="1"/>
  <c r="L618" i="1"/>
  <c r="L622" i="1"/>
  <c r="L626" i="1"/>
  <c r="L630" i="1"/>
  <c r="L634" i="1"/>
  <c r="L638" i="1"/>
  <c r="L642" i="1"/>
  <c r="L646" i="1"/>
  <c r="L650" i="1"/>
  <c r="L654" i="1"/>
  <c r="L658" i="1"/>
  <c r="L662" i="1"/>
  <c r="L666" i="1"/>
  <c r="L670" i="1"/>
  <c r="L674" i="1"/>
  <c r="L678" i="1"/>
  <c r="L682" i="1"/>
  <c r="L686" i="1"/>
  <c r="L690" i="1"/>
  <c r="L694" i="1"/>
  <c r="L698" i="1"/>
  <c r="L702" i="1"/>
  <c r="L706" i="1"/>
  <c r="L710" i="1"/>
  <c r="L714" i="1"/>
  <c r="L718" i="1"/>
  <c r="L722" i="1"/>
  <c r="L726" i="1"/>
  <c r="L730" i="1"/>
  <c r="L734" i="1"/>
  <c r="L738" i="1"/>
  <c r="L742" i="1"/>
  <c r="L746" i="1"/>
  <c r="L750" i="1"/>
  <c r="L754" i="1"/>
  <c r="L758" i="1"/>
  <c r="L762" i="1"/>
  <c r="L766" i="1"/>
  <c r="L8" i="1"/>
  <c r="L7" i="1"/>
  <c r="K9" i="1"/>
  <c r="L84" i="1"/>
  <c r="L139" i="1"/>
  <c r="L189" i="1"/>
  <c r="L199" i="1"/>
  <c r="L215" i="1"/>
  <c r="L227" i="1"/>
  <c r="L243" i="1"/>
  <c r="L259" i="1"/>
  <c r="L281" i="1"/>
  <c r="L297" i="1"/>
  <c r="L305" i="1"/>
  <c r="L321" i="1"/>
  <c r="L335" i="1"/>
  <c r="L347" i="1"/>
  <c r="L373" i="1"/>
  <c r="L389" i="1"/>
  <c r="L405" i="1"/>
  <c r="L421" i="1"/>
  <c r="L431" i="1"/>
  <c r="L441" i="1"/>
  <c r="L452" i="1"/>
  <c r="L459" i="1"/>
  <c r="L469" i="1"/>
  <c r="L477" i="1"/>
  <c r="L493" i="1"/>
  <c r="L503" i="1"/>
  <c r="L513" i="1"/>
  <c r="L539" i="1"/>
  <c r="L544" i="1"/>
  <c r="L550" i="1"/>
  <c r="L555" i="1"/>
  <c r="L559" i="1"/>
  <c r="L563" i="1"/>
  <c r="L567" i="1"/>
  <c r="L571" i="1"/>
  <c r="L575" i="1"/>
  <c r="L579" i="1"/>
  <c r="L583" i="1"/>
  <c r="L587" i="1"/>
  <c r="L595" i="1"/>
  <c r="L599" i="1"/>
  <c r="L607" i="1"/>
  <c r="L611" i="1"/>
  <c r="L615" i="1"/>
  <c r="L619" i="1"/>
  <c r="L623" i="1"/>
  <c r="L627" i="1"/>
  <c r="L631" i="1"/>
  <c r="L635" i="1"/>
  <c r="L639" i="1"/>
  <c r="L643" i="1"/>
  <c r="L647" i="1"/>
  <c r="L651" i="1"/>
  <c r="L655" i="1"/>
  <c r="L663" i="1"/>
  <c r="L667" i="1"/>
  <c r="L675" i="1"/>
  <c r="L687" i="1"/>
  <c r="L695" i="1"/>
  <c r="L707" i="1"/>
  <c r="L715" i="1"/>
  <c r="L727" i="1"/>
  <c r="L735" i="1"/>
  <c r="L743" i="1"/>
  <c r="L751" i="1"/>
  <c r="L759" i="1"/>
  <c r="L767" i="1"/>
  <c r="L4" i="1"/>
  <c r="K12" i="1"/>
  <c r="L770" i="1"/>
  <c r="K5" i="1"/>
  <c r="K13" i="1"/>
  <c r="K17" i="1"/>
  <c r="K21" i="1"/>
  <c r="K25" i="1"/>
  <c r="K29" i="1"/>
  <c r="K33" i="1"/>
  <c r="K37" i="1"/>
  <c r="K41" i="1"/>
  <c r="K45" i="1"/>
  <c r="K49" i="1"/>
  <c r="K53" i="1"/>
  <c r="K57" i="1"/>
  <c r="K61" i="1"/>
  <c r="K65" i="1"/>
  <c r="K69" i="1"/>
  <c r="K73" i="1"/>
  <c r="K77" i="1"/>
  <c r="K81" i="1"/>
  <c r="K85" i="1"/>
  <c r="K89" i="1"/>
  <c r="K93" i="1"/>
  <c r="K97" i="1"/>
  <c r="K101" i="1"/>
  <c r="K105" i="1"/>
  <c r="K109" i="1"/>
  <c r="K113" i="1"/>
  <c r="K117" i="1"/>
  <c r="K121" i="1"/>
  <c r="K125" i="1"/>
  <c r="K129" i="1"/>
  <c r="K133" i="1"/>
  <c r="K137" i="1"/>
  <c r="K141" i="1"/>
  <c r="K145" i="1"/>
  <c r="K149" i="1"/>
  <c r="K153" i="1"/>
  <c r="K157" i="1"/>
  <c r="K161" i="1"/>
  <c r="K165" i="1"/>
  <c r="K169" i="1"/>
  <c r="K173" i="1"/>
  <c r="K177" i="1"/>
  <c r="K181" i="1"/>
  <c r="K185" i="1"/>
  <c r="K10" i="1"/>
  <c r="K14" i="1"/>
  <c r="K18" i="1"/>
  <c r="K22" i="1"/>
  <c r="K26" i="1"/>
  <c r="K30" i="1"/>
  <c r="K34" i="1"/>
  <c r="K38" i="1"/>
  <c r="K42" i="1"/>
  <c r="K46" i="1"/>
  <c r="K50" i="1"/>
  <c r="K54" i="1"/>
  <c r="K58" i="1"/>
  <c r="K62" i="1"/>
  <c r="K66" i="1"/>
  <c r="K70" i="1"/>
  <c r="K74" i="1"/>
  <c r="K78" i="1"/>
  <c r="K82" i="1"/>
  <c r="K86" i="1"/>
  <c r="K90" i="1"/>
  <c r="K94" i="1"/>
  <c r="K98" i="1"/>
  <c r="K102" i="1"/>
  <c r="K106" i="1"/>
  <c r="K110" i="1"/>
  <c r="K114" i="1"/>
  <c r="K118" i="1"/>
  <c r="K122" i="1"/>
  <c r="K126" i="1"/>
  <c r="K130" i="1"/>
  <c r="K134" i="1"/>
  <c r="K138" i="1"/>
  <c r="K142" i="1"/>
  <c r="K146" i="1"/>
  <c r="K150" i="1"/>
  <c r="K154" i="1"/>
  <c r="K158" i="1"/>
  <c r="K162" i="1"/>
  <c r="K166" i="1"/>
  <c r="K170" i="1"/>
  <c r="K174" i="1"/>
  <c r="K178" i="1"/>
  <c r="K182" i="1"/>
  <c r="K186" i="1"/>
  <c r="K190" i="1"/>
  <c r="K194" i="1"/>
  <c r="K198" i="1"/>
  <c r="K7" i="1"/>
  <c r="K11" i="1"/>
  <c r="K19" i="1"/>
  <c r="K23" i="1"/>
  <c r="K27" i="1"/>
  <c r="K31" i="1"/>
  <c r="K35" i="1"/>
  <c r="K39" i="1"/>
  <c r="K43" i="1"/>
  <c r="K47" i="1"/>
  <c r="K51" i="1"/>
  <c r="K55" i="1"/>
  <c r="K59" i="1"/>
  <c r="K63" i="1"/>
  <c r="K67" i="1"/>
  <c r="K71" i="1"/>
  <c r="K75" i="1"/>
  <c r="K79" i="1"/>
  <c r="K83" i="1"/>
  <c r="K87" i="1"/>
  <c r="K91" i="1"/>
  <c r="K95" i="1"/>
  <c r="K99" i="1"/>
  <c r="K103" i="1"/>
  <c r="K107" i="1"/>
  <c r="K111" i="1"/>
  <c r="K115" i="1"/>
  <c r="K119" i="1"/>
  <c r="K123" i="1"/>
  <c r="K127" i="1"/>
  <c r="K131" i="1"/>
  <c r="K135" i="1"/>
  <c r="K139" i="1"/>
  <c r="K143" i="1"/>
  <c r="K147" i="1"/>
  <c r="K151" i="1"/>
  <c r="K155" i="1"/>
  <c r="K159" i="1"/>
  <c r="K163" i="1"/>
  <c r="K167" i="1"/>
  <c r="K171" i="1"/>
  <c r="K175" i="1"/>
  <c r="K179" i="1"/>
  <c r="K183" i="1"/>
  <c r="K187" i="1"/>
  <c r="K191" i="1"/>
  <c r="K195" i="1"/>
  <c r="K199" i="1"/>
  <c r="K203" i="1"/>
  <c r="K8" i="1"/>
  <c r="K16" i="1"/>
  <c r="K20" i="1"/>
  <c r="K24" i="1"/>
  <c r="K28" i="1"/>
  <c r="K32" i="1"/>
  <c r="K36" i="1"/>
  <c r="K40" i="1"/>
  <c r="K44" i="1"/>
  <c r="K48" i="1"/>
  <c r="K52" i="1"/>
  <c r="K56" i="1"/>
  <c r="K60" i="1"/>
  <c r="K64" i="1"/>
  <c r="K68" i="1"/>
  <c r="K72" i="1"/>
  <c r="K76" i="1"/>
  <c r="K80" i="1"/>
  <c r="K84" i="1"/>
  <c r="K88" i="1"/>
  <c r="K92" i="1"/>
  <c r="K96" i="1"/>
  <c r="K100" i="1"/>
  <c r="K104" i="1"/>
  <c r="K108" i="1"/>
  <c r="K112" i="1"/>
  <c r="K116" i="1"/>
  <c r="K120" i="1"/>
  <c r="K124" i="1"/>
  <c r="K128" i="1"/>
  <c r="K132" i="1"/>
  <c r="K136" i="1"/>
  <c r="K140" i="1"/>
  <c r="K144" i="1"/>
  <c r="K148" i="1"/>
  <c r="K152" i="1"/>
  <c r="K156" i="1"/>
  <c r="K160" i="1"/>
  <c r="K164" i="1"/>
  <c r="K180" i="1"/>
  <c r="K192" i="1"/>
  <c r="K200" i="1"/>
  <c r="K205" i="1"/>
  <c r="K209" i="1"/>
  <c r="K213" i="1"/>
  <c r="K217" i="1"/>
  <c r="K221" i="1"/>
  <c r="K225" i="1"/>
  <c r="K229" i="1"/>
  <c r="K233" i="1"/>
  <c r="K237" i="1"/>
  <c r="K241" i="1"/>
  <c r="K245" i="1"/>
  <c r="K249" i="1"/>
  <c r="K253" i="1"/>
  <c r="K257" i="1"/>
  <c r="K261" i="1"/>
  <c r="K265" i="1"/>
  <c r="K269" i="1"/>
  <c r="K273" i="1"/>
  <c r="K277" i="1"/>
  <c r="K281" i="1"/>
  <c r="K285" i="1"/>
  <c r="K289" i="1"/>
  <c r="K293" i="1"/>
  <c r="K297" i="1"/>
  <c r="K301" i="1"/>
  <c r="K305" i="1"/>
  <c r="K309" i="1"/>
  <c r="K313" i="1"/>
  <c r="K317" i="1"/>
  <c r="K321" i="1"/>
  <c r="K325" i="1"/>
  <c r="K329" i="1"/>
  <c r="K333" i="1"/>
  <c r="K337" i="1"/>
  <c r="K341" i="1"/>
  <c r="K345" i="1"/>
  <c r="K349" i="1"/>
  <c r="K353" i="1"/>
  <c r="K357" i="1"/>
  <c r="K361" i="1"/>
  <c r="K365" i="1"/>
  <c r="K369" i="1"/>
  <c r="K373" i="1"/>
  <c r="K377" i="1"/>
  <c r="K381" i="1"/>
  <c r="K385" i="1"/>
  <c r="K389" i="1"/>
  <c r="K393" i="1"/>
  <c r="K397" i="1"/>
  <c r="K401" i="1"/>
  <c r="K405" i="1"/>
  <c r="K409" i="1"/>
  <c r="K413" i="1"/>
  <c r="K417" i="1"/>
  <c r="K421" i="1"/>
  <c r="K425" i="1"/>
  <c r="K429" i="1"/>
  <c r="K433" i="1"/>
  <c r="K437" i="1"/>
  <c r="K441" i="1"/>
  <c r="K445" i="1"/>
  <c r="K449" i="1"/>
  <c r="K453" i="1"/>
  <c r="K457" i="1"/>
  <c r="K461" i="1"/>
  <c r="K465" i="1"/>
  <c r="K469" i="1"/>
  <c r="K473" i="1"/>
  <c r="K477" i="1"/>
  <c r="K481" i="1"/>
  <c r="K485" i="1"/>
  <c r="K489" i="1"/>
  <c r="K493" i="1"/>
  <c r="K497" i="1"/>
  <c r="K501" i="1"/>
  <c r="K505" i="1"/>
  <c r="K509" i="1"/>
  <c r="K513" i="1"/>
  <c r="K517" i="1"/>
  <c r="K521" i="1"/>
  <c r="K525" i="1"/>
  <c r="K529" i="1"/>
  <c r="K533" i="1"/>
  <c r="K537" i="1"/>
  <c r="K541" i="1"/>
  <c r="K545" i="1"/>
  <c r="K168" i="1"/>
  <c r="K184" i="1"/>
  <c r="K193" i="1"/>
  <c r="K201" i="1"/>
  <c r="K206" i="1"/>
  <c r="K210" i="1"/>
  <c r="K214" i="1"/>
  <c r="K218" i="1"/>
  <c r="K222" i="1"/>
  <c r="K226" i="1"/>
  <c r="K230" i="1"/>
  <c r="K234" i="1"/>
  <c r="K238" i="1"/>
  <c r="K242" i="1"/>
  <c r="K246" i="1"/>
  <c r="K250" i="1"/>
  <c r="K254" i="1"/>
  <c r="K258" i="1"/>
  <c r="K262" i="1"/>
  <c r="K266" i="1"/>
  <c r="K270" i="1"/>
  <c r="K274" i="1"/>
  <c r="K278" i="1"/>
  <c r="K282" i="1"/>
  <c r="K286" i="1"/>
  <c r="K290" i="1"/>
  <c r="K294" i="1"/>
  <c r="K298" i="1"/>
  <c r="K302" i="1"/>
  <c r="K306" i="1"/>
  <c r="K310" i="1"/>
  <c r="K314" i="1"/>
  <c r="K318" i="1"/>
  <c r="K322" i="1"/>
  <c r="K326" i="1"/>
  <c r="K330" i="1"/>
  <c r="K334" i="1"/>
  <c r="K338" i="1"/>
  <c r="K342" i="1"/>
  <c r="K346" i="1"/>
  <c r="K350" i="1"/>
  <c r="K354" i="1"/>
  <c r="K358" i="1"/>
  <c r="K362" i="1"/>
  <c r="K366" i="1"/>
  <c r="K370" i="1"/>
  <c r="K374" i="1"/>
  <c r="K378" i="1"/>
  <c r="K382" i="1"/>
  <c r="K386" i="1"/>
  <c r="K390" i="1"/>
  <c r="K394" i="1"/>
  <c r="K398" i="1"/>
  <c r="K402" i="1"/>
  <c r="K406" i="1"/>
  <c r="K410" i="1"/>
  <c r="K414" i="1"/>
  <c r="K418" i="1"/>
  <c r="K422" i="1"/>
  <c r="K426" i="1"/>
  <c r="K430" i="1"/>
  <c r="K434" i="1"/>
  <c r="K438" i="1"/>
  <c r="K442" i="1"/>
  <c r="K446" i="1"/>
  <c r="K450" i="1"/>
  <c r="K454" i="1"/>
  <c r="K458" i="1"/>
  <c r="K462" i="1"/>
  <c r="K466" i="1"/>
  <c r="K470" i="1"/>
  <c r="K474" i="1"/>
  <c r="K478" i="1"/>
  <c r="K482" i="1"/>
  <c r="K486" i="1"/>
  <c r="K490" i="1"/>
  <c r="K494" i="1"/>
  <c r="K498" i="1"/>
  <c r="K502" i="1"/>
  <c r="K506" i="1"/>
  <c r="K510" i="1"/>
  <c r="K514" i="1"/>
  <c r="K518" i="1"/>
  <c r="K522" i="1"/>
  <c r="K526" i="1"/>
  <c r="K530" i="1"/>
  <c r="K534" i="1"/>
  <c r="K172" i="1"/>
  <c r="K188" i="1"/>
  <c r="K196" i="1"/>
  <c r="K202" i="1"/>
  <c r="K207" i="1"/>
  <c r="K211" i="1"/>
  <c r="K215" i="1"/>
  <c r="K219" i="1"/>
  <c r="K223" i="1"/>
  <c r="K227" i="1"/>
  <c r="K231" i="1"/>
  <c r="K235" i="1"/>
  <c r="K239" i="1"/>
  <c r="K243" i="1"/>
  <c r="K247" i="1"/>
  <c r="K251" i="1"/>
  <c r="K255" i="1"/>
  <c r="K259" i="1"/>
  <c r="K263" i="1"/>
  <c r="K267" i="1"/>
  <c r="K271" i="1"/>
  <c r="K275" i="1"/>
  <c r="K279" i="1"/>
  <c r="K283" i="1"/>
  <c r="K287" i="1"/>
  <c r="K291" i="1"/>
  <c r="K295" i="1"/>
  <c r="K299" i="1"/>
  <c r="K303" i="1"/>
  <c r="K307" i="1"/>
  <c r="K311" i="1"/>
  <c r="K315" i="1"/>
  <c r="K319" i="1"/>
  <c r="K323" i="1"/>
  <c r="K327" i="1"/>
  <c r="K331" i="1"/>
  <c r="K335" i="1"/>
  <c r="K339" i="1"/>
  <c r="K343" i="1"/>
  <c r="K347" i="1"/>
  <c r="K351" i="1"/>
  <c r="K355" i="1"/>
  <c r="K359" i="1"/>
  <c r="K363" i="1"/>
  <c r="K367" i="1"/>
  <c r="K371" i="1"/>
  <c r="K375" i="1"/>
  <c r="K379" i="1"/>
  <c r="K383" i="1"/>
  <c r="K387" i="1"/>
  <c r="K391" i="1"/>
  <c r="K395" i="1"/>
  <c r="K399" i="1"/>
  <c r="K403" i="1"/>
  <c r="K407" i="1"/>
  <c r="K411" i="1"/>
  <c r="K415" i="1"/>
  <c r="K419" i="1"/>
  <c r="K423" i="1"/>
  <c r="K427" i="1"/>
  <c r="K431" i="1"/>
  <c r="K435" i="1"/>
  <c r="K439" i="1"/>
  <c r="K443" i="1"/>
  <c r="K447" i="1"/>
  <c r="K451" i="1"/>
  <c r="K455" i="1"/>
  <c r="K459" i="1"/>
  <c r="K463" i="1"/>
  <c r="K467" i="1"/>
  <c r="K471" i="1"/>
  <c r="K475" i="1"/>
  <c r="K479" i="1"/>
  <c r="K483" i="1"/>
  <c r="K487" i="1"/>
  <c r="K491" i="1"/>
  <c r="K495" i="1"/>
  <c r="K499" i="1"/>
  <c r="K503" i="1"/>
  <c r="K507" i="1"/>
  <c r="K511" i="1"/>
  <c r="K515" i="1"/>
  <c r="K519" i="1"/>
  <c r="K523" i="1"/>
  <c r="K527" i="1"/>
  <c r="K531" i="1"/>
  <c r="K535" i="1"/>
  <c r="K539" i="1"/>
  <c r="K543" i="1"/>
  <c r="K547" i="1"/>
  <c r="K551" i="1"/>
  <c r="K555" i="1"/>
  <c r="K176" i="1"/>
  <c r="K189" i="1"/>
  <c r="K197" i="1"/>
  <c r="K204" i="1"/>
  <c r="K208" i="1"/>
  <c r="K212" i="1"/>
  <c r="K216" i="1"/>
  <c r="K220" i="1"/>
  <c r="K224" i="1"/>
  <c r="K228" i="1"/>
  <c r="K232" i="1"/>
  <c r="K236" i="1"/>
  <c r="K240" i="1"/>
  <c r="K244" i="1"/>
  <c r="K248" i="1"/>
  <c r="K252" i="1"/>
  <c r="K256" i="1"/>
  <c r="K260" i="1"/>
  <c r="K264" i="1"/>
  <c r="K268" i="1"/>
  <c r="K272" i="1"/>
  <c r="K276" i="1"/>
  <c r="K280" i="1"/>
  <c r="K284" i="1"/>
  <c r="K288" i="1"/>
  <c r="K292" i="1"/>
  <c r="K296" i="1"/>
  <c r="K300" i="1"/>
  <c r="K304" i="1"/>
  <c r="K308" i="1"/>
  <c r="K312" i="1"/>
  <c r="K316" i="1"/>
  <c r="K320" i="1"/>
  <c r="K324" i="1"/>
  <c r="K328" i="1"/>
  <c r="K332" i="1"/>
  <c r="K336" i="1"/>
  <c r="K340" i="1"/>
  <c r="K344" i="1"/>
  <c r="K348" i="1"/>
  <c r="K352" i="1"/>
  <c r="K356" i="1"/>
  <c r="K360" i="1"/>
  <c r="K364" i="1"/>
  <c r="K368" i="1"/>
  <c r="K372" i="1"/>
  <c r="K376" i="1"/>
  <c r="K380" i="1"/>
  <c r="K384" i="1"/>
  <c r="K388" i="1"/>
  <c r="K392" i="1"/>
  <c r="K396" i="1"/>
  <c r="K400" i="1"/>
  <c r="K404" i="1"/>
  <c r="K408" i="1"/>
  <c r="K412" i="1"/>
  <c r="K416" i="1"/>
  <c r="K420" i="1"/>
  <c r="K424" i="1"/>
  <c r="K428" i="1"/>
  <c r="K432" i="1"/>
  <c r="K436" i="1"/>
  <c r="K440" i="1"/>
  <c r="K444" i="1"/>
  <c r="K448" i="1"/>
  <c r="K452" i="1"/>
  <c r="K456" i="1"/>
  <c r="K460" i="1"/>
  <c r="K464" i="1"/>
  <c r="K468" i="1"/>
  <c r="K472" i="1"/>
  <c r="K476" i="1"/>
  <c r="K480" i="1"/>
  <c r="K484" i="1"/>
  <c r="K488" i="1"/>
  <c r="K492" i="1"/>
  <c r="K496" i="1"/>
  <c r="K500" i="1"/>
  <c r="K504" i="1"/>
  <c r="K508" i="1"/>
  <c r="K512" i="1"/>
  <c r="K516" i="1"/>
  <c r="K520" i="1"/>
  <c r="K524" i="1"/>
  <c r="K528" i="1"/>
  <c r="K540" i="1"/>
  <c r="K548" i="1"/>
  <c r="K553" i="1"/>
  <c r="K558" i="1"/>
  <c r="K562" i="1"/>
  <c r="K566" i="1"/>
  <c r="K570" i="1"/>
  <c r="K574" i="1"/>
  <c r="K578" i="1"/>
  <c r="K582" i="1"/>
  <c r="K586" i="1"/>
  <c r="K590" i="1"/>
  <c r="K594" i="1"/>
  <c r="K598" i="1"/>
  <c r="K602" i="1"/>
  <c r="K606" i="1"/>
  <c r="K610" i="1"/>
  <c r="K614" i="1"/>
  <c r="K618" i="1"/>
  <c r="K622" i="1"/>
  <c r="K626" i="1"/>
  <c r="K630" i="1"/>
  <c r="K634" i="1"/>
  <c r="K638" i="1"/>
  <c r="K642" i="1"/>
  <c r="K646" i="1"/>
  <c r="K650" i="1"/>
  <c r="K654" i="1"/>
  <c r="K658" i="1"/>
  <c r="K662" i="1"/>
  <c r="K666" i="1"/>
  <c r="K670" i="1"/>
  <c r="K674" i="1"/>
  <c r="K678" i="1"/>
  <c r="K682" i="1"/>
  <c r="K686" i="1"/>
  <c r="K690" i="1"/>
  <c r="K694" i="1"/>
  <c r="K698" i="1"/>
  <c r="K702" i="1"/>
  <c r="K706" i="1"/>
  <c r="K710" i="1"/>
  <c r="K714" i="1"/>
  <c r="K718" i="1"/>
  <c r="K722" i="1"/>
  <c r="K726" i="1"/>
  <c r="K730" i="1"/>
  <c r="K734" i="1"/>
  <c r="K738" i="1"/>
  <c r="K742" i="1"/>
  <c r="K746" i="1"/>
  <c r="K750" i="1"/>
  <c r="K754" i="1"/>
  <c r="K758" i="1"/>
  <c r="K762" i="1"/>
  <c r="K766" i="1"/>
  <c r="K770" i="1"/>
  <c r="K737" i="1"/>
  <c r="K753" i="1"/>
  <c r="K769" i="1"/>
  <c r="K532" i="1"/>
  <c r="K542" i="1"/>
  <c r="K549" i="1"/>
  <c r="K554" i="1"/>
  <c r="K559" i="1"/>
  <c r="K563" i="1"/>
  <c r="K567" i="1"/>
  <c r="K571" i="1"/>
  <c r="K575" i="1"/>
  <c r="K579" i="1"/>
  <c r="K583" i="1"/>
  <c r="K587" i="1"/>
  <c r="K591" i="1"/>
  <c r="K595" i="1"/>
  <c r="K599" i="1"/>
  <c r="K603" i="1"/>
  <c r="K607" i="1"/>
  <c r="K611" i="1"/>
  <c r="K615" i="1"/>
  <c r="K619" i="1"/>
  <c r="K623" i="1"/>
  <c r="K627" i="1"/>
  <c r="K631" i="1"/>
  <c r="K635" i="1"/>
  <c r="K639" i="1"/>
  <c r="K643" i="1"/>
  <c r="K647" i="1"/>
  <c r="K651" i="1"/>
  <c r="K655" i="1"/>
  <c r="K659" i="1"/>
  <c r="K663" i="1"/>
  <c r="K667" i="1"/>
  <c r="K671" i="1"/>
  <c r="K675" i="1"/>
  <c r="K679" i="1"/>
  <c r="K683" i="1"/>
  <c r="K687" i="1"/>
  <c r="K691" i="1"/>
  <c r="K695" i="1"/>
  <c r="K699" i="1"/>
  <c r="K703" i="1"/>
  <c r="K707" i="1"/>
  <c r="K711" i="1"/>
  <c r="K715" i="1"/>
  <c r="K719" i="1"/>
  <c r="K723" i="1"/>
  <c r="K727" i="1"/>
  <c r="K731" i="1"/>
  <c r="K735" i="1"/>
  <c r="K739" i="1"/>
  <c r="K743" i="1"/>
  <c r="K747" i="1"/>
  <c r="K751" i="1"/>
  <c r="K755" i="1"/>
  <c r="K759" i="1"/>
  <c r="K763" i="1"/>
  <c r="K767" i="1"/>
  <c r="K4" i="1"/>
  <c r="K745" i="1"/>
  <c r="K765" i="1"/>
  <c r="K536" i="1"/>
  <c r="K544" i="1"/>
  <c r="K550" i="1"/>
  <c r="K556" i="1"/>
  <c r="K560" i="1"/>
  <c r="K564" i="1"/>
  <c r="K568" i="1"/>
  <c r="K572" i="1"/>
  <c r="K576" i="1"/>
  <c r="K580" i="1"/>
  <c r="K584" i="1"/>
  <c r="K588" i="1"/>
  <c r="K592" i="1"/>
  <c r="K596" i="1"/>
  <c r="K600" i="1"/>
  <c r="K604" i="1"/>
  <c r="K608" i="1"/>
  <c r="K612" i="1"/>
  <c r="K616" i="1"/>
  <c r="K620" i="1"/>
  <c r="K624" i="1"/>
  <c r="K628" i="1"/>
  <c r="K632" i="1"/>
  <c r="K636" i="1"/>
  <c r="K640" i="1"/>
  <c r="K644" i="1"/>
  <c r="K648" i="1"/>
  <c r="K652" i="1"/>
  <c r="K656" i="1"/>
  <c r="K660" i="1"/>
  <c r="K664" i="1"/>
  <c r="K668" i="1"/>
  <c r="K672" i="1"/>
  <c r="K676" i="1"/>
  <c r="K680" i="1"/>
  <c r="K684" i="1"/>
  <c r="K688" i="1"/>
  <c r="K692" i="1"/>
  <c r="K696" i="1"/>
  <c r="K700" i="1"/>
  <c r="K704" i="1"/>
  <c r="K708" i="1"/>
  <c r="K712" i="1"/>
  <c r="K716" i="1"/>
  <c r="K720" i="1"/>
  <c r="K724" i="1"/>
  <c r="K728" i="1"/>
  <c r="K732" i="1"/>
  <c r="K736" i="1"/>
  <c r="K740" i="1"/>
  <c r="K744" i="1"/>
  <c r="K748" i="1"/>
  <c r="K752" i="1"/>
  <c r="K756" i="1"/>
  <c r="K760" i="1"/>
  <c r="K764" i="1"/>
  <c r="K768" i="1"/>
  <c r="K2" i="1"/>
  <c r="K741" i="1"/>
  <c r="K757" i="1"/>
  <c r="K538" i="1"/>
  <c r="K546" i="1"/>
  <c r="K552" i="1"/>
  <c r="K557" i="1"/>
  <c r="K561" i="1"/>
  <c r="K565" i="1"/>
  <c r="K569" i="1"/>
  <c r="K573" i="1"/>
  <c r="K577" i="1"/>
  <c r="K581" i="1"/>
  <c r="K585" i="1"/>
  <c r="K589" i="1"/>
  <c r="K593" i="1"/>
  <c r="K597" i="1"/>
  <c r="K601" i="1"/>
  <c r="K605" i="1"/>
  <c r="K609" i="1"/>
  <c r="K613" i="1"/>
  <c r="K617" i="1"/>
  <c r="K621" i="1"/>
  <c r="K625" i="1"/>
  <c r="K629" i="1"/>
  <c r="K633" i="1"/>
  <c r="K637" i="1"/>
  <c r="K641" i="1"/>
  <c r="K645" i="1"/>
  <c r="K649" i="1"/>
  <c r="K653" i="1"/>
  <c r="K657" i="1"/>
  <c r="K661" i="1"/>
  <c r="K665" i="1"/>
  <c r="K669" i="1"/>
  <c r="K673" i="1"/>
  <c r="K677" i="1"/>
  <c r="K681" i="1"/>
  <c r="K685" i="1"/>
  <c r="K689" i="1"/>
  <c r="K693" i="1"/>
  <c r="K697" i="1"/>
  <c r="K701" i="1"/>
  <c r="K705" i="1"/>
  <c r="K709" i="1"/>
  <c r="K713" i="1"/>
  <c r="K717" i="1"/>
  <c r="K721" i="1"/>
  <c r="K725" i="1"/>
  <c r="K729" i="1"/>
  <c r="K733" i="1"/>
  <c r="K749" i="1"/>
  <c r="K761" i="1"/>
  <c r="M9" i="1"/>
  <c r="M13" i="1"/>
  <c r="M17" i="1"/>
  <c r="M21" i="1"/>
  <c r="M25" i="1"/>
  <c r="M29" i="1"/>
  <c r="M33" i="1"/>
  <c r="M37" i="1"/>
  <c r="M41" i="1"/>
  <c r="M45" i="1"/>
  <c r="M49" i="1"/>
  <c r="M53" i="1"/>
  <c r="M57" i="1"/>
  <c r="M61" i="1"/>
  <c r="M65" i="1"/>
  <c r="M69" i="1"/>
  <c r="M73" i="1"/>
  <c r="M77" i="1"/>
  <c r="M81" i="1"/>
  <c r="M85" i="1"/>
  <c r="M89" i="1"/>
  <c r="M93" i="1"/>
  <c r="M97" i="1"/>
  <c r="M101" i="1"/>
  <c r="M105" i="1"/>
  <c r="M109" i="1"/>
  <c r="M113" i="1"/>
  <c r="M117" i="1"/>
  <c r="M121" i="1"/>
  <c r="M125" i="1"/>
  <c r="M129" i="1"/>
  <c r="M133" i="1"/>
  <c r="M137" i="1"/>
  <c r="M141" i="1"/>
  <c r="M145" i="1"/>
  <c r="M149" i="1"/>
  <c r="M153" i="1"/>
  <c r="M157" i="1"/>
  <c r="M161" i="1"/>
  <c r="M165" i="1"/>
  <c r="M169" i="1"/>
  <c r="M173" i="1"/>
  <c r="M177" i="1"/>
  <c r="M181" i="1"/>
  <c r="M185" i="1"/>
  <c r="M189" i="1"/>
  <c r="M193" i="1"/>
  <c r="M197" i="1"/>
  <c r="M201" i="1"/>
  <c r="M205" i="1"/>
  <c r="M209" i="1"/>
  <c r="M213" i="1"/>
  <c r="M217" i="1"/>
  <c r="M221" i="1"/>
  <c r="M225" i="1"/>
  <c r="M229" i="1"/>
  <c r="M233" i="1"/>
  <c r="M237" i="1"/>
  <c r="M241" i="1"/>
  <c r="M245" i="1"/>
  <c r="M249" i="1"/>
  <c r="M253" i="1"/>
  <c r="M257" i="1"/>
  <c r="M261" i="1"/>
  <c r="M265" i="1"/>
  <c r="M269" i="1"/>
  <c r="M273" i="1"/>
  <c r="M277" i="1"/>
  <c r="M281" i="1"/>
  <c r="M285" i="1"/>
  <c r="M289" i="1"/>
  <c r="M293" i="1"/>
  <c r="M297" i="1"/>
  <c r="M301" i="1"/>
  <c r="M305" i="1"/>
  <c r="M309" i="1"/>
  <c r="M313" i="1"/>
  <c r="M317" i="1"/>
  <c r="M321" i="1"/>
  <c r="M325" i="1"/>
  <c r="M329" i="1"/>
  <c r="M333" i="1"/>
  <c r="M337" i="1"/>
  <c r="M341" i="1"/>
  <c r="M345" i="1"/>
  <c r="N770" i="1"/>
  <c r="M6" i="1"/>
  <c r="M10" i="1"/>
  <c r="M14" i="1"/>
  <c r="M18" i="1"/>
  <c r="M22" i="1"/>
  <c r="M26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2" i="1"/>
  <c r="M86" i="1"/>
  <c r="M90" i="1"/>
  <c r="M94" i="1"/>
  <c r="M98" i="1"/>
  <c r="M102" i="1"/>
  <c r="M106" i="1"/>
  <c r="M110" i="1"/>
  <c r="M114" i="1"/>
  <c r="M118" i="1"/>
  <c r="M122" i="1"/>
  <c r="M126" i="1"/>
  <c r="M130" i="1"/>
  <c r="M134" i="1"/>
  <c r="M138" i="1"/>
  <c r="M142" i="1"/>
  <c r="M146" i="1"/>
  <c r="M150" i="1"/>
  <c r="M154" i="1"/>
  <c r="M158" i="1"/>
  <c r="M162" i="1"/>
  <c r="M166" i="1"/>
  <c r="M170" i="1"/>
  <c r="M174" i="1"/>
  <c r="M178" i="1"/>
  <c r="M182" i="1"/>
  <c r="M186" i="1"/>
  <c r="M190" i="1"/>
  <c r="M194" i="1"/>
  <c r="M198" i="1"/>
  <c r="M202" i="1"/>
  <c r="M206" i="1"/>
  <c r="M210" i="1"/>
  <c r="M214" i="1"/>
  <c r="M218" i="1"/>
  <c r="M222" i="1"/>
  <c r="M226" i="1"/>
  <c r="M230" i="1"/>
  <c r="M234" i="1"/>
  <c r="M238" i="1"/>
  <c r="M242" i="1"/>
  <c r="M246" i="1"/>
  <c r="M250" i="1"/>
  <c r="M254" i="1"/>
  <c r="M258" i="1"/>
  <c r="M262" i="1"/>
  <c r="M266" i="1"/>
  <c r="M270" i="1"/>
  <c r="M274" i="1"/>
  <c r="M278" i="1"/>
  <c r="M282" i="1"/>
  <c r="M286" i="1"/>
  <c r="M290" i="1"/>
  <c r="M294" i="1"/>
  <c r="M298" i="1"/>
  <c r="M302" i="1"/>
  <c r="M306" i="1"/>
  <c r="M310" i="1"/>
  <c r="M314" i="1"/>
  <c r="M318" i="1"/>
  <c r="M322" i="1"/>
  <c r="M326" i="1"/>
  <c r="M330" i="1"/>
  <c r="M19" i="1"/>
  <c r="M23" i="1"/>
  <c r="M27" i="1"/>
  <c r="M31" i="1"/>
  <c r="M35" i="1"/>
  <c r="M39" i="1"/>
  <c r="M43" i="1"/>
  <c r="M47" i="1"/>
  <c r="M51" i="1"/>
  <c r="M55" i="1"/>
  <c r="M59" i="1"/>
  <c r="M63" i="1"/>
  <c r="M67" i="1"/>
  <c r="M71" i="1"/>
  <c r="M75" i="1"/>
  <c r="M79" i="1"/>
  <c r="M83" i="1"/>
  <c r="M87" i="1"/>
  <c r="M91" i="1"/>
  <c r="M95" i="1"/>
  <c r="M99" i="1"/>
  <c r="M103" i="1"/>
  <c r="M107" i="1"/>
  <c r="M111" i="1"/>
  <c r="M115" i="1"/>
  <c r="M119" i="1"/>
  <c r="M123" i="1"/>
  <c r="M127" i="1"/>
  <c r="M131" i="1"/>
  <c r="M135" i="1"/>
  <c r="M139" i="1"/>
  <c r="M143" i="1"/>
  <c r="M147" i="1"/>
  <c r="M151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1" i="1"/>
  <c r="M215" i="1"/>
  <c r="M219" i="1"/>
  <c r="M223" i="1"/>
  <c r="M227" i="1"/>
  <c r="M231" i="1"/>
  <c r="M235" i="1"/>
  <c r="M239" i="1"/>
  <c r="M243" i="1"/>
  <c r="M247" i="1"/>
  <c r="M251" i="1"/>
  <c r="M255" i="1"/>
  <c r="M259" i="1"/>
  <c r="M263" i="1"/>
  <c r="M267" i="1"/>
  <c r="M271" i="1"/>
  <c r="M275" i="1"/>
  <c r="M279" i="1"/>
  <c r="M283" i="1"/>
  <c r="M287" i="1"/>
  <c r="M291" i="1"/>
  <c r="M295" i="1"/>
  <c r="M299" i="1"/>
  <c r="M303" i="1"/>
  <c r="M307" i="1"/>
  <c r="M311" i="1"/>
  <c r="M315" i="1"/>
  <c r="M319" i="1"/>
  <c r="M323" i="1"/>
  <c r="M8" i="1"/>
  <c r="M12" i="1"/>
  <c r="M16" i="1"/>
  <c r="M20" i="1"/>
  <c r="M24" i="1"/>
  <c r="M28" i="1"/>
  <c r="M32" i="1"/>
  <c r="M36" i="1"/>
  <c r="M40" i="1"/>
  <c r="M44" i="1"/>
  <c r="M48" i="1"/>
  <c r="M52" i="1"/>
  <c r="M56" i="1"/>
  <c r="M60" i="1"/>
  <c r="M64" i="1"/>
  <c r="M68" i="1"/>
  <c r="M72" i="1"/>
  <c r="M76" i="1"/>
  <c r="M80" i="1"/>
  <c r="M84" i="1"/>
  <c r="M88" i="1"/>
  <c r="M92" i="1"/>
  <c r="M96" i="1"/>
  <c r="M100" i="1"/>
  <c r="M104" i="1"/>
  <c r="M108" i="1"/>
  <c r="M112" i="1"/>
  <c r="M116" i="1"/>
  <c r="M120" i="1"/>
  <c r="M124" i="1"/>
  <c r="M128" i="1"/>
  <c r="M132" i="1"/>
  <c r="M136" i="1"/>
  <c r="M140" i="1"/>
  <c r="M144" i="1"/>
  <c r="M148" i="1"/>
  <c r="M152" i="1"/>
  <c r="M156" i="1"/>
  <c r="M160" i="1"/>
  <c r="M164" i="1"/>
  <c r="M168" i="1"/>
  <c r="M172" i="1"/>
  <c r="M176" i="1"/>
  <c r="M180" i="1"/>
  <c r="M184" i="1"/>
  <c r="M188" i="1"/>
  <c r="M192" i="1"/>
  <c r="M196" i="1"/>
  <c r="M200" i="1"/>
  <c r="M204" i="1"/>
  <c r="M208" i="1"/>
  <c r="M212" i="1"/>
  <c r="M216" i="1"/>
  <c r="M220" i="1"/>
  <c r="M224" i="1"/>
  <c r="M228" i="1"/>
  <c r="M232" i="1"/>
  <c r="M236" i="1"/>
  <c r="M240" i="1"/>
  <c r="M248" i="1"/>
  <c r="M264" i="1"/>
  <c r="M280" i="1"/>
  <c r="M296" i="1"/>
  <c r="M312" i="1"/>
  <c r="M327" i="1"/>
  <c r="M334" i="1"/>
  <c r="M339" i="1"/>
  <c r="M344" i="1"/>
  <c r="M349" i="1"/>
  <c r="M353" i="1"/>
  <c r="M357" i="1"/>
  <c r="M361" i="1"/>
  <c r="M365" i="1"/>
  <c r="M369" i="1"/>
  <c r="M373" i="1"/>
  <c r="M377" i="1"/>
  <c r="M381" i="1"/>
  <c r="M385" i="1"/>
  <c r="M389" i="1"/>
  <c r="M393" i="1"/>
  <c r="M397" i="1"/>
  <c r="M401" i="1"/>
  <c r="M405" i="1"/>
  <c r="M409" i="1"/>
  <c r="M413" i="1"/>
  <c r="M417" i="1"/>
  <c r="M421" i="1"/>
  <c r="M425" i="1"/>
  <c r="M429" i="1"/>
  <c r="M433" i="1"/>
  <c r="M437" i="1"/>
  <c r="M441" i="1"/>
  <c r="M445" i="1"/>
  <c r="M449" i="1"/>
  <c r="M453" i="1"/>
  <c r="M457" i="1"/>
  <c r="M461" i="1"/>
  <c r="M465" i="1"/>
  <c r="M469" i="1"/>
  <c r="M473" i="1"/>
  <c r="M477" i="1"/>
  <c r="M481" i="1"/>
  <c r="M485" i="1"/>
  <c r="M489" i="1"/>
  <c r="M493" i="1"/>
  <c r="M497" i="1"/>
  <c r="M501" i="1"/>
  <c r="M505" i="1"/>
  <c r="M509" i="1"/>
  <c r="M513" i="1"/>
  <c r="M517" i="1"/>
  <c r="M521" i="1"/>
  <c r="M525" i="1"/>
  <c r="M529" i="1"/>
  <c r="M533" i="1"/>
  <c r="M537" i="1"/>
  <c r="M541" i="1"/>
  <c r="M545" i="1"/>
  <c r="M549" i="1"/>
  <c r="M553" i="1"/>
  <c r="M557" i="1"/>
  <c r="M561" i="1"/>
  <c r="M565" i="1"/>
  <c r="M569" i="1"/>
  <c r="M573" i="1"/>
  <c r="M577" i="1"/>
  <c r="M581" i="1"/>
  <c r="M585" i="1"/>
  <c r="M589" i="1"/>
  <c r="M593" i="1"/>
  <c r="M597" i="1"/>
  <c r="M252" i="1"/>
  <c r="M268" i="1"/>
  <c r="M284" i="1"/>
  <c r="M300" i="1"/>
  <c r="M316" i="1"/>
  <c r="M328" i="1"/>
  <c r="M335" i="1"/>
  <c r="M340" i="1"/>
  <c r="M346" i="1"/>
  <c r="M350" i="1"/>
  <c r="M354" i="1"/>
  <c r="M358" i="1"/>
  <c r="M362" i="1"/>
  <c r="M366" i="1"/>
  <c r="M370" i="1"/>
  <c r="M374" i="1"/>
  <c r="M378" i="1"/>
  <c r="M382" i="1"/>
  <c r="M386" i="1"/>
  <c r="M390" i="1"/>
  <c r="M394" i="1"/>
  <c r="M398" i="1"/>
  <c r="M402" i="1"/>
  <c r="M406" i="1"/>
  <c r="M410" i="1"/>
  <c r="M414" i="1"/>
  <c r="M418" i="1"/>
  <c r="M422" i="1"/>
  <c r="M426" i="1"/>
  <c r="M430" i="1"/>
  <c r="M434" i="1"/>
  <c r="M438" i="1"/>
  <c r="M442" i="1"/>
  <c r="M446" i="1"/>
  <c r="M450" i="1"/>
  <c r="M454" i="1"/>
  <c r="M458" i="1"/>
  <c r="M462" i="1"/>
  <c r="M466" i="1"/>
  <c r="M470" i="1"/>
  <c r="M474" i="1"/>
  <c r="M478" i="1"/>
  <c r="M482" i="1"/>
  <c r="M486" i="1"/>
  <c r="M490" i="1"/>
  <c r="M494" i="1"/>
  <c r="M498" i="1"/>
  <c r="M502" i="1"/>
  <c r="M506" i="1"/>
  <c r="M510" i="1"/>
  <c r="M514" i="1"/>
  <c r="M518" i="1"/>
  <c r="M522" i="1"/>
  <c r="M526" i="1"/>
  <c r="M530" i="1"/>
  <c r="M534" i="1"/>
  <c r="M538" i="1"/>
  <c r="M542" i="1"/>
  <c r="M546" i="1"/>
  <c r="M550" i="1"/>
  <c r="M554" i="1"/>
  <c r="M558" i="1"/>
  <c r="M562" i="1"/>
  <c r="M566" i="1"/>
  <c r="M570" i="1"/>
  <c r="M574" i="1"/>
  <c r="M578" i="1"/>
  <c r="M582" i="1"/>
  <c r="M586" i="1"/>
  <c r="M590" i="1"/>
  <c r="M594" i="1"/>
  <c r="M598" i="1"/>
  <c r="M602" i="1"/>
  <c r="M606" i="1"/>
  <c r="M610" i="1"/>
  <c r="M614" i="1"/>
  <c r="M618" i="1"/>
  <c r="M622" i="1"/>
  <c r="M626" i="1"/>
  <c r="M630" i="1"/>
  <c r="M634" i="1"/>
  <c r="M638" i="1"/>
  <c r="M642" i="1"/>
  <c r="M646" i="1"/>
  <c r="M256" i="1"/>
  <c r="M272" i="1"/>
  <c r="M288" i="1"/>
  <c r="M304" i="1"/>
  <c r="M320" i="1"/>
  <c r="M331" i="1"/>
  <c r="M336" i="1"/>
  <c r="M342" i="1"/>
  <c r="M347" i="1"/>
  <c r="M351" i="1"/>
  <c r="M355" i="1"/>
  <c r="M359" i="1"/>
  <c r="M363" i="1"/>
  <c r="M367" i="1"/>
  <c r="M371" i="1"/>
  <c r="M375" i="1"/>
  <c r="M379" i="1"/>
  <c r="M383" i="1"/>
  <c r="M387" i="1"/>
  <c r="M391" i="1"/>
  <c r="M395" i="1"/>
  <c r="M399" i="1"/>
  <c r="M403" i="1"/>
  <c r="M407" i="1"/>
  <c r="M411" i="1"/>
  <c r="M415" i="1"/>
  <c r="M419" i="1"/>
  <c r="M423" i="1"/>
  <c r="M427" i="1"/>
  <c r="M431" i="1"/>
  <c r="M435" i="1"/>
  <c r="M439" i="1"/>
  <c r="M443" i="1"/>
  <c r="M447" i="1"/>
  <c r="M451" i="1"/>
  <c r="M455" i="1"/>
  <c r="M459" i="1"/>
  <c r="M463" i="1"/>
  <c r="M467" i="1"/>
  <c r="M471" i="1"/>
  <c r="M475" i="1"/>
  <c r="M479" i="1"/>
  <c r="M483" i="1"/>
  <c r="M487" i="1"/>
  <c r="M491" i="1"/>
  <c r="M495" i="1"/>
  <c r="M499" i="1"/>
  <c r="M503" i="1"/>
  <c r="M507" i="1"/>
  <c r="M511" i="1"/>
  <c r="M515" i="1"/>
  <c r="M519" i="1"/>
  <c r="M523" i="1"/>
  <c r="M527" i="1"/>
  <c r="M531" i="1"/>
  <c r="M535" i="1"/>
  <c r="M539" i="1"/>
  <c r="M543" i="1"/>
  <c r="M547" i="1"/>
  <c r="M551" i="1"/>
  <c r="M555" i="1"/>
  <c r="M559" i="1"/>
  <c r="M563" i="1"/>
  <c r="M567" i="1"/>
  <c r="M571" i="1"/>
  <c r="M575" i="1"/>
  <c r="M579" i="1"/>
  <c r="M583" i="1"/>
  <c r="M587" i="1"/>
  <c r="M591" i="1"/>
  <c r="M595" i="1"/>
  <c r="M599" i="1"/>
  <c r="M603" i="1"/>
  <c r="M607" i="1"/>
  <c r="M611" i="1"/>
  <c r="M615" i="1"/>
  <c r="M619" i="1"/>
  <c r="M623" i="1"/>
  <c r="M627" i="1"/>
  <c r="M631" i="1"/>
  <c r="M635" i="1"/>
  <c r="M639" i="1"/>
  <c r="M643" i="1"/>
  <c r="M647" i="1"/>
  <c r="M651" i="1"/>
  <c r="M244" i="1"/>
  <c r="M260" i="1"/>
  <c r="M276" i="1"/>
  <c r="M292" i="1"/>
  <c r="M308" i="1"/>
  <c r="M324" i="1"/>
  <c r="M332" i="1"/>
  <c r="M338" i="1"/>
  <c r="M343" i="1"/>
  <c r="M348" i="1"/>
  <c r="M352" i="1"/>
  <c r="M356" i="1"/>
  <c r="M360" i="1"/>
  <c r="M364" i="1"/>
  <c r="M368" i="1"/>
  <c r="M372" i="1"/>
  <c r="M376" i="1"/>
  <c r="M380" i="1"/>
  <c r="M384" i="1"/>
  <c r="M388" i="1"/>
  <c r="M392" i="1"/>
  <c r="M396" i="1"/>
  <c r="M400" i="1"/>
  <c r="M404" i="1"/>
  <c r="M408" i="1"/>
  <c r="M412" i="1"/>
  <c r="M416" i="1"/>
  <c r="M420" i="1"/>
  <c r="M424" i="1"/>
  <c r="M428" i="1"/>
  <c r="M432" i="1"/>
  <c r="M436" i="1"/>
  <c r="M440" i="1"/>
  <c r="M444" i="1"/>
  <c r="M448" i="1"/>
  <c r="M452" i="1"/>
  <c r="M456" i="1"/>
  <c r="M460" i="1"/>
  <c r="M464" i="1"/>
  <c r="M468" i="1"/>
  <c r="M472" i="1"/>
  <c r="M476" i="1"/>
  <c r="M480" i="1"/>
  <c r="M484" i="1"/>
  <c r="M488" i="1"/>
  <c r="M492" i="1"/>
  <c r="M496" i="1"/>
  <c r="M500" i="1"/>
  <c r="M504" i="1"/>
  <c r="M508" i="1"/>
  <c r="M512" i="1"/>
  <c r="M516" i="1"/>
  <c r="M520" i="1"/>
  <c r="M524" i="1"/>
  <c r="M528" i="1"/>
  <c r="M532" i="1"/>
  <c r="M536" i="1"/>
  <c r="M540" i="1"/>
  <c r="M544" i="1"/>
  <c r="M548" i="1"/>
  <c r="M552" i="1"/>
  <c r="M556" i="1"/>
  <c r="M560" i="1"/>
  <c r="M564" i="1"/>
  <c r="M568" i="1"/>
  <c r="M572" i="1"/>
  <c r="M576" i="1"/>
  <c r="M580" i="1"/>
  <c r="M584" i="1"/>
  <c r="M588" i="1"/>
  <c r="M592" i="1"/>
  <c r="M596" i="1"/>
  <c r="M600" i="1"/>
  <c r="M604" i="1"/>
  <c r="M608" i="1"/>
  <c r="M612" i="1"/>
  <c r="M605" i="1"/>
  <c r="M617" i="1"/>
  <c r="M625" i="1"/>
  <c r="M633" i="1"/>
  <c r="M641" i="1"/>
  <c r="M649" i="1"/>
  <c r="M654" i="1"/>
  <c r="M658" i="1"/>
  <c r="M662" i="1"/>
  <c r="M666" i="1"/>
  <c r="M670" i="1"/>
  <c r="M674" i="1"/>
  <c r="M678" i="1"/>
  <c r="M682" i="1"/>
  <c r="M686" i="1"/>
  <c r="M690" i="1"/>
  <c r="M694" i="1"/>
  <c r="M698" i="1"/>
  <c r="M702" i="1"/>
  <c r="M706" i="1"/>
  <c r="M710" i="1"/>
  <c r="M714" i="1"/>
  <c r="M718" i="1"/>
  <c r="M722" i="1"/>
  <c r="M726" i="1"/>
  <c r="M730" i="1"/>
  <c r="M734" i="1"/>
  <c r="M738" i="1"/>
  <c r="M742" i="1"/>
  <c r="M746" i="1"/>
  <c r="M750" i="1"/>
  <c r="M754" i="1"/>
  <c r="M758" i="1"/>
  <c r="M762" i="1"/>
  <c r="M766" i="1"/>
  <c r="M770" i="1"/>
  <c r="M609" i="1"/>
  <c r="M620" i="1"/>
  <c r="M628" i="1"/>
  <c r="M636" i="1"/>
  <c r="M644" i="1"/>
  <c r="M650" i="1"/>
  <c r="M655" i="1"/>
  <c r="M659" i="1"/>
  <c r="M663" i="1"/>
  <c r="M667" i="1"/>
  <c r="M671" i="1"/>
  <c r="M675" i="1"/>
  <c r="M679" i="1"/>
  <c r="M683" i="1"/>
  <c r="M687" i="1"/>
  <c r="M691" i="1"/>
  <c r="M695" i="1"/>
  <c r="M699" i="1"/>
  <c r="M703" i="1"/>
  <c r="M707" i="1"/>
  <c r="M711" i="1"/>
  <c r="M715" i="1"/>
  <c r="M719" i="1"/>
  <c r="M723" i="1"/>
  <c r="M727" i="1"/>
  <c r="M731" i="1"/>
  <c r="M735" i="1"/>
  <c r="M739" i="1"/>
  <c r="M743" i="1"/>
  <c r="M747" i="1"/>
  <c r="M751" i="1"/>
  <c r="M755" i="1"/>
  <c r="M759" i="1"/>
  <c r="M763" i="1"/>
  <c r="M767" i="1"/>
  <c r="M4" i="1"/>
  <c r="M2" i="1"/>
  <c r="M613" i="1"/>
  <c r="M621" i="1"/>
  <c r="M629" i="1"/>
  <c r="M637" i="1"/>
  <c r="M645" i="1"/>
  <c r="M652" i="1"/>
  <c r="M656" i="1"/>
  <c r="M660" i="1"/>
  <c r="M664" i="1"/>
  <c r="M668" i="1"/>
  <c r="M672" i="1"/>
  <c r="M676" i="1"/>
  <c r="M680" i="1"/>
  <c r="M684" i="1"/>
  <c r="M688" i="1"/>
  <c r="M692" i="1"/>
  <c r="M696" i="1"/>
  <c r="M700" i="1"/>
  <c r="M704" i="1"/>
  <c r="M708" i="1"/>
  <c r="M712" i="1"/>
  <c r="M716" i="1"/>
  <c r="M720" i="1"/>
  <c r="M724" i="1"/>
  <c r="M728" i="1"/>
  <c r="M732" i="1"/>
  <c r="M736" i="1"/>
  <c r="M740" i="1"/>
  <c r="M744" i="1"/>
  <c r="M748" i="1"/>
  <c r="M752" i="1"/>
  <c r="M756" i="1"/>
  <c r="M760" i="1"/>
  <c r="M764" i="1"/>
  <c r="M768" i="1"/>
  <c r="M5" i="1"/>
  <c r="M601" i="1"/>
  <c r="M616" i="1"/>
  <c r="M624" i="1"/>
  <c r="M632" i="1"/>
  <c r="M640" i="1"/>
  <c r="M648" i="1"/>
  <c r="M653" i="1"/>
  <c r="M657" i="1"/>
  <c r="M661" i="1"/>
  <c r="M665" i="1"/>
  <c r="M669" i="1"/>
  <c r="M673" i="1"/>
  <c r="M677" i="1"/>
  <c r="M681" i="1"/>
  <c r="M685" i="1"/>
  <c r="M689" i="1"/>
  <c r="M693" i="1"/>
  <c r="M697" i="1"/>
  <c r="M701" i="1"/>
  <c r="M705" i="1"/>
  <c r="M709" i="1"/>
  <c r="M713" i="1"/>
  <c r="M717" i="1"/>
  <c r="M721" i="1"/>
  <c r="M725" i="1"/>
  <c r="M729" i="1"/>
  <c r="M733" i="1"/>
  <c r="M737" i="1"/>
  <c r="M741" i="1"/>
  <c r="M745" i="1"/>
  <c r="M749" i="1"/>
  <c r="M753" i="1"/>
  <c r="M757" i="1"/>
  <c r="M761" i="1"/>
  <c r="M765" i="1"/>
  <c r="M769" i="1"/>
  <c r="U8" i="1" l="1"/>
  <c r="U32" i="1" s="1"/>
  <c r="U11" i="1"/>
  <c r="W8" i="1"/>
  <c r="W32" i="1" s="1"/>
  <c r="W11" i="1"/>
  <c r="T4" i="1" l="1"/>
  <c r="T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  <c r="T68" i="1"/>
  <c r="T72" i="1"/>
  <c r="T76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T152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5" i="1"/>
  <c r="T9" i="1"/>
  <c r="T13" i="1"/>
  <c r="T17" i="1"/>
  <c r="T21" i="1"/>
  <c r="T25" i="1"/>
  <c r="T29" i="1"/>
  <c r="T33" i="1"/>
  <c r="T37" i="1"/>
  <c r="T41" i="1"/>
  <c r="T45" i="1"/>
  <c r="T49" i="1"/>
  <c r="T53" i="1"/>
  <c r="T57" i="1"/>
  <c r="T61" i="1"/>
  <c r="T65" i="1"/>
  <c r="T69" i="1"/>
  <c r="T73" i="1"/>
  <c r="T77" i="1"/>
  <c r="T81" i="1"/>
  <c r="T85" i="1"/>
  <c r="T89" i="1"/>
  <c r="T93" i="1"/>
  <c r="T97" i="1"/>
  <c r="T101" i="1"/>
  <c r="T105" i="1"/>
  <c r="T109" i="1"/>
  <c r="T113" i="1"/>
  <c r="T117" i="1"/>
  <c r="T121" i="1"/>
  <c r="T125" i="1"/>
  <c r="T129" i="1"/>
  <c r="T133" i="1"/>
  <c r="T137" i="1"/>
  <c r="T141" i="1"/>
  <c r="T145" i="1"/>
  <c r="T149" i="1"/>
  <c r="T153" i="1"/>
  <c r="T157" i="1"/>
  <c r="T161" i="1"/>
  <c r="T165" i="1"/>
  <c r="T169" i="1"/>
  <c r="T173" i="1"/>
  <c r="T177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" i="1"/>
  <c r="T11" i="1"/>
  <c r="T19" i="1"/>
  <c r="T27" i="1"/>
  <c r="T35" i="1"/>
  <c r="T43" i="1"/>
  <c r="T51" i="1"/>
  <c r="T59" i="1"/>
  <c r="T67" i="1"/>
  <c r="T75" i="1"/>
  <c r="T83" i="1"/>
  <c r="T91" i="1"/>
  <c r="T99" i="1"/>
  <c r="T107" i="1"/>
  <c r="T115" i="1"/>
  <c r="T123" i="1"/>
  <c r="T131" i="1"/>
  <c r="T139" i="1"/>
  <c r="T147" i="1"/>
  <c r="T155" i="1"/>
  <c r="T163" i="1"/>
  <c r="T171" i="1"/>
  <c r="T179" i="1"/>
  <c r="T187" i="1"/>
  <c r="T195" i="1"/>
  <c r="T203" i="1"/>
  <c r="T211" i="1"/>
  <c r="T219" i="1"/>
  <c r="T227" i="1"/>
  <c r="T235" i="1"/>
  <c r="T243" i="1"/>
  <c r="T251" i="1"/>
  <c r="T259" i="1"/>
  <c r="T267" i="1"/>
  <c r="T275" i="1"/>
  <c r="T283" i="1"/>
  <c r="T291" i="1"/>
  <c r="T299" i="1"/>
  <c r="T304" i="1"/>
  <c r="T310" i="1"/>
  <c r="T315" i="1"/>
  <c r="T320" i="1"/>
  <c r="T326" i="1"/>
  <c r="T331" i="1"/>
  <c r="T336" i="1"/>
  <c r="T342" i="1"/>
  <c r="T346" i="1"/>
  <c r="T350" i="1"/>
  <c r="T354" i="1"/>
  <c r="T358" i="1"/>
  <c r="T362" i="1"/>
  <c r="T366" i="1"/>
  <c r="T370" i="1"/>
  <c r="T374" i="1"/>
  <c r="T378" i="1"/>
  <c r="T382" i="1"/>
  <c r="T386" i="1"/>
  <c r="T390" i="1"/>
  <c r="T394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6" i="1"/>
  <c r="T14" i="1"/>
  <c r="T22" i="1"/>
  <c r="T30" i="1"/>
  <c r="T38" i="1"/>
  <c r="T46" i="1"/>
  <c r="T54" i="1"/>
  <c r="T62" i="1"/>
  <c r="T70" i="1"/>
  <c r="T78" i="1"/>
  <c r="T86" i="1"/>
  <c r="T94" i="1"/>
  <c r="T102" i="1"/>
  <c r="T110" i="1"/>
  <c r="T118" i="1"/>
  <c r="T126" i="1"/>
  <c r="T134" i="1"/>
  <c r="T142" i="1"/>
  <c r="T150" i="1"/>
  <c r="T158" i="1"/>
  <c r="T166" i="1"/>
  <c r="T174" i="1"/>
  <c r="T182" i="1"/>
  <c r="T190" i="1"/>
  <c r="T198" i="1"/>
  <c r="T206" i="1"/>
  <c r="T214" i="1"/>
  <c r="T222" i="1"/>
  <c r="T230" i="1"/>
  <c r="T238" i="1"/>
  <c r="T246" i="1"/>
  <c r="T254" i="1"/>
  <c r="T262" i="1"/>
  <c r="T270" i="1"/>
  <c r="T278" i="1"/>
  <c r="T286" i="1"/>
  <c r="T294" i="1"/>
  <c r="T300" i="1"/>
  <c r="T306" i="1"/>
  <c r="T311" i="1"/>
  <c r="T316" i="1"/>
  <c r="T322" i="1"/>
  <c r="T327" i="1"/>
  <c r="T332" i="1"/>
  <c r="T338" i="1"/>
  <c r="T343" i="1"/>
  <c r="T347" i="1"/>
  <c r="T351" i="1"/>
  <c r="T355" i="1"/>
  <c r="T359" i="1"/>
  <c r="T363" i="1"/>
  <c r="T367" i="1"/>
  <c r="T371" i="1"/>
  <c r="T375" i="1"/>
  <c r="T379" i="1"/>
  <c r="T383" i="1"/>
  <c r="T387" i="1"/>
  <c r="T391" i="1"/>
  <c r="T395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7" i="1"/>
  <c r="T15" i="1"/>
  <c r="T23" i="1"/>
  <c r="T31" i="1"/>
  <c r="T39" i="1"/>
  <c r="T47" i="1"/>
  <c r="T55" i="1"/>
  <c r="T63" i="1"/>
  <c r="T71" i="1"/>
  <c r="T79" i="1"/>
  <c r="T87" i="1"/>
  <c r="T95" i="1"/>
  <c r="T103" i="1"/>
  <c r="T111" i="1"/>
  <c r="T119" i="1"/>
  <c r="T127" i="1"/>
  <c r="T135" i="1"/>
  <c r="T143" i="1"/>
  <c r="T151" i="1"/>
  <c r="T159" i="1"/>
  <c r="T167" i="1"/>
  <c r="T175" i="1"/>
  <c r="T183" i="1"/>
  <c r="T191" i="1"/>
  <c r="T199" i="1"/>
  <c r="T207" i="1"/>
  <c r="T215" i="1"/>
  <c r="T223" i="1"/>
  <c r="T231" i="1"/>
  <c r="T239" i="1"/>
  <c r="T247" i="1"/>
  <c r="T255" i="1"/>
  <c r="T263" i="1"/>
  <c r="T271" i="1"/>
  <c r="T279" i="1"/>
  <c r="T287" i="1"/>
  <c r="T295" i="1"/>
  <c r="T302" i="1"/>
  <c r="T307" i="1"/>
  <c r="T312" i="1"/>
  <c r="T318" i="1"/>
  <c r="T323" i="1"/>
  <c r="T328" i="1"/>
  <c r="T334" i="1"/>
  <c r="T339" i="1"/>
  <c r="T344" i="1"/>
  <c r="T348" i="1"/>
  <c r="T352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28" i="1"/>
  <c r="T432" i="1"/>
  <c r="T436" i="1"/>
  <c r="T440" i="1"/>
  <c r="T444" i="1"/>
  <c r="T448" i="1"/>
  <c r="T452" i="1"/>
  <c r="T456" i="1"/>
  <c r="T460" i="1"/>
  <c r="T464" i="1"/>
  <c r="T468" i="1"/>
  <c r="T472" i="1"/>
  <c r="T476" i="1"/>
  <c r="T480" i="1"/>
  <c r="T484" i="1"/>
  <c r="T488" i="1"/>
  <c r="T492" i="1"/>
  <c r="T496" i="1"/>
  <c r="T500" i="1"/>
  <c r="T504" i="1"/>
  <c r="T10" i="1"/>
  <c r="T42" i="1"/>
  <c r="T74" i="1"/>
  <c r="T106" i="1"/>
  <c r="T138" i="1"/>
  <c r="T170" i="1"/>
  <c r="T202" i="1"/>
  <c r="T234" i="1"/>
  <c r="T266" i="1"/>
  <c r="T298" i="1"/>
  <c r="T319" i="1"/>
  <c r="T340" i="1"/>
  <c r="T357" i="1"/>
  <c r="T373" i="1"/>
  <c r="T389" i="1"/>
  <c r="T405" i="1"/>
  <c r="T421" i="1"/>
  <c r="T437" i="1"/>
  <c r="T453" i="1"/>
  <c r="T469" i="1"/>
  <c r="T477" i="1"/>
  <c r="T485" i="1"/>
  <c r="T493" i="1"/>
  <c r="T501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610" i="1"/>
  <c r="T614" i="1"/>
  <c r="T618" i="1"/>
  <c r="T622" i="1"/>
  <c r="T626" i="1"/>
  <c r="T630" i="1"/>
  <c r="T634" i="1"/>
  <c r="T638" i="1"/>
  <c r="T642" i="1"/>
  <c r="T646" i="1"/>
  <c r="T650" i="1"/>
  <c r="T654" i="1"/>
  <c r="T658" i="1"/>
  <c r="T662" i="1"/>
  <c r="T666" i="1"/>
  <c r="T670" i="1"/>
  <c r="T674" i="1"/>
  <c r="T678" i="1"/>
  <c r="T682" i="1"/>
  <c r="T686" i="1"/>
  <c r="T690" i="1"/>
  <c r="T694" i="1"/>
  <c r="T698" i="1"/>
  <c r="T702" i="1"/>
  <c r="T706" i="1"/>
  <c r="T710" i="1"/>
  <c r="T714" i="1"/>
  <c r="T718" i="1"/>
  <c r="T722" i="1"/>
  <c r="T726" i="1"/>
  <c r="T730" i="1"/>
  <c r="T734" i="1"/>
  <c r="T738" i="1"/>
  <c r="T742" i="1"/>
  <c r="T746" i="1"/>
  <c r="T750" i="1"/>
  <c r="T754" i="1"/>
  <c r="T758" i="1"/>
  <c r="T762" i="1"/>
  <c r="T766" i="1"/>
  <c r="T770" i="1"/>
  <c r="R7" i="1"/>
  <c r="T18" i="1"/>
  <c r="T50" i="1"/>
  <c r="T82" i="1"/>
  <c r="T114" i="1"/>
  <c r="T146" i="1"/>
  <c r="T178" i="1"/>
  <c r="T210" i="1"/>
  <c r="T242" i="1"/>
  <c r="T274" i="1"/>
  <c r="T303" i="1"/>
  <c r="T324" i="1"/>
  <c r="T345" i="1"/>
  <c r="T361" i="1"/>
  <c r="T377" i="1"/>
  <c r="T393" i="1"/>
  <c r="T409" i="1"/>
  <c r="T425" i="1"/>
  <c r="T441" i="1"/>
  <c r="T457" i="1"/>
  <c r="T471" i="1"/>
  <c r="T479" i="1"/>
  <c r="T487" i="1"/>
  <c r="T495" i="1"/>
  <c r="T502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5" i="1"/>
  <c r="T559" i="1"/>
  <c r="T563" i="1"/>
  <c r="T567" i="1"/>
  <c r="T571" i="1"/>
  <c r="T575" i="1"/>
  <c r="T579" i="1"/>
  <c r="T583" i="1"/>
  <c r="T587" i="1"/>
  <c r="T591" i="1"/>
  <c r="T595" i="1"/>
  <c r="T599" i="1"/>
  <c r="T603" i="1"/>
  <c r="T607" i="1"/>
  <c r="T611" i="1"/>
  <c r="T615" i="1"/>
  <c r="T619" i="1"/>
  <c r="T623" i="1"/>
  <c r="T627" i="1"/>
  <c r="T631" i="1"/>
  <c r="T635" i="1"/>
  <c r="T639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3" i="1"/>
  <c r="T727" i="1"/>
  <c r="T731" i="1"/>
  <c r="T735" i="1"/>
  <c r="T739" i="1"/>
  <c r="T743" i="1"/>
  <c r="T747" i="1"/>
  <c r="T26" i="1"/>
  <c r="T58" i="1"/>
  <c r="T90" i="1"/>
  <c r="T122" i="1"/>
  <c r="T154" i="1"/>
  <c r="T186" i="1"/>
  <c r="T218" i="1"/>
  <c r="T250" i="1"/>
  <c r="T282" i="1"/>
  <c r="T308" i="1"/>
  <c r="T330" i="1"/>
  <c r="T349" i="1"/>
  <c r="T365" i="1"/>
  <c r="T381" i="1"/>
  <c r="T397" i="1"/>
  <c r="T413" i="1"/>
  <c r="T429" i="1"/>
  <c r="T445" i="1"/>
  <c r="T461" i="1"/>
  <c r="T473" i="1"/>
  <c r="T481" i="1"/>
  <c r="T489" i="1"/>
  <c r="T497" i="1"/>
  <c r="T503" i="1"/>
  <c r="T508" i="1"/>
  <c r="T512" i="1"/>
  <c r="T516" i="1"/>
  <c r="T520" i="1"/>
  <c r="T524" i="1"/>
  <c r="T528" i="1"/>
  <c r="T532" i="1"/>
  <c r="T536" i="1"/>
  <c r="T540" i="1"/>
  <c r="T544" i="1"/>
  <c r="T548" i="1"/>
  <c r="T552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2" i="1"/>
  <c r="T616" i="1"/>
  <c r="T620" i="1"/>
  <c r="T624" i="1"/>
  <c r="T628" i="1"/>
  <c r="T632" i="1"/>
  <c r="T636" i="1"/>
  <c r="T640" i="1"/>
  <c r="T644" i="1"/>
  <c r="T648" i="1"/>
  <c r="T652" i="1"/>
  <c r="T656" i="1"/>
  <c r="T660" i="1"/>
  <c r="T664" i="1"/>
  <c r="T668" i="1"/>
  <c r="T672" i="1"/>
  <c r="T676" i="1"/>
  <c r="T680" i="1"/>
  <c r="T684" i="1"/>
  <c r="T688" i="1"/>
  <c r="T692" i="1"/>
  <c r="T696" i="1"/>
  <c r="T700" i="1"/>
  <c r="T704" i="1"/>
  <c r="T708" i="1"/>
  <c r="T712" i="1"/>
  <c r="T716" i="1"/>
  <c r="T720" i="1"/>
  <c r="T724" i="1"/>
  <c r="T728" i="1"/>
  <c r="T732" i="1"/>
  <c r="T736" i="1"/>
  <c r="T740" i="1"/>
  <c r="T744" i="1"/>
  <c r="T748" i="1"/>
  <c r="T752" i="1"/>
  <c r="T756" i="1"/>
  <c r="T760" i="1"/>
  <c r="T764" i="1"/>
  <c r="T768" i="1"/>
  <c r="R5" i="1"/>
  <c r="T34" i="1"/>
  <c r="T162" i="1"/>
  <c r="T290" i="1"/>
  <c r="T369" i="1"/>
  <c r="T433" i="1"/>
  <c r="T483" i="1"/>
  <c r="T509" i="1"/>
  <c r="T525" i="1"/>
  <c r="T541" i="1"/>
  <c r="T557" i="1"/>
  <c r="T573" i="1"/>
  <c r="T589" i="1"/>
  <c r="T605" i="1"/>
  <c r="T621" i="1"/>
  <c r="T637" i="1"/>
  <c r="T653" i="1"/>
  <c r="T669" i="1"/>
  <c r="T685" i="1"/>
  <c r="T701" i="1"/>
  <c r="T717" i="1"/>
  <c r="T733" i="1"/>
  <c r="T749" i="1"/>
  <c r="T757" i="1"/>
  <c r="T765" i="1"/>
  <c r="R6" i="1"/>
  <c r="R11" i="1"/>
  <c r="R15" i="1"/>
  <c r="R19" i="1"/>
  <c r="R23" i="1"/>
  <c r="R27" i="1"/>
  <c r="R31" i="1"/>
  <c r="R35" i="1"/>
  <c r="R39" i="1"/>
  <c r="R43" i="1"/>
  <c r="R47" i="1"/>
  <c r="R51" i="1"/>
  <c r="R55" i="1"/>
  <c r="R59" i="1"/>
  <c r="R63" i="1"/>
  <c r="R67" i="1"/>
  <c r="R71" i="1"/>
  <c r="R75" i="1"/>
  <c r="R79" i="1"/>
  <c r="R83" i="1"/>
  <c r="R87" i="1"/>
  <c r="R91" i="1"/>
  <c r="R95" i="1"/>
  <c r="R99" i="1"/>
  <c r="R103" i="1"/>
  <c r="R107" i="1"/>
  <c r="R111" i="1"/>
  <c r="R115" i="1"/>
  <c r="R119" i="1"/>
  <c r="R123" i="1"/>
  <c r="R127" i="1"/>
  <c r="R131" i="1"/>
  <c r="R135" i="1"/>
  <c r="R139" i="1"/>
  <c r="R143" i="1"/>
  <c r="R147" i="1"/>
  <c r="R151" i="1"/>
  <c r="R155" i="1"/>
  <c r="R159" i="1"/>
  <c r="R163" i="1"/>
  <c r="R167" i="1"/>
  <c r="R171" i="1"/>
  <c r="R175" i="1"/>
  <c r="R179" i="1"/>
  <c r="R183" i="1"/>
  <c r="R187" i="1"/>
  <c r="R191" i="1"/>
  <c r="R195" i="1"/>
  <c r="R199" i="1"/>
  <c r="R203" i="1"/>
  <c r="R207" i="1"/>
  <c r="R211" i="1"/>
  <c r="R215" i="1"/>
  <c r="R219" i="1"/>
  <c r="R223" i="1"/>
  <c r="R227" i="1"/>
  <c r="R231" i="1"/>
  <c r="R235" i="1"/>
  <c r="R239" i="1"/>
  <c r="R243" i="1"/>
  <c r="R247" i="1"/>
  <c r="R251" i="1"/>
  <c r="R255" i="1"/>
  <c r="R259" i="1"/>
  <c r="R263" i="1"/>
  <c r="R267" i="1"/>
  <c r="R271" i="1"/>
  <c r="R275" i="1"/>
  <c r="R279" i="1"/>
  <c r="R283" i="1"/>
  <c r="R287" i="1"/>
  <c r="R291" i="1"/>
  <c r="R295" i="1"/>
  <c r="R299" i="1"/>
  <c r="R303" i="1"/>
  <c r="R307" i="1"/>
  <c r="R311" i="1"/>
  <c r="R315" i="1"/>
  <c r="R319" i="1"/>
  <c r="R323" i="1"/>
  <c r="R327" i="1"/>
  <c r="R331" i="1"/>
  <c r="R335" i="1"/>
  <c r="R339" i="1"/>
  <c r="R343" i="1"/>
  <c r="R347" i="1"/>
  <c r="R351" i="1"/>
  <c r="R355" i="1"/>
  <c r="R359" i="1"/>
  <c r="R363" i="1"/>
  <c r="R367" i="1"/>
  <c r="R371" i="1"/>
  <c r="R375" i="1"/>
  <c r="R379" i="1"/>
  <c r="R383" i="1"/>
  <c r="R387" i="1"/>
  <c r="R391" i="1"/>
  <c r="R395" i="1"/>
  <c r="R399" i="1"/>
  <c r="R403" i="1"/>
  <c r="R407" i="1"/>
  <c r="R411" i="1"/>
  <c r="R415" i="1"/>
  <c r="R419" i="1"/>
  <c r="R423" i="1"/>
  <c r="R427" i="1"/>
  <c r="R431" i="1"/>
  <c r="R435" i="1"/>
  <c r="R439" i="1"/>
  <c r="R443" i="1"/>
  <c r="R447" i="1"/>
  <c r="R451" i="1"/>
  <c r="R455" i="1"/>
  <c r="R459" i="1"/>
  <c r="R463" i="1"/>
  <c r="R467" i="1"/>
  <c r="R471" i="1"/>
  <c r="R475" i="1"/>
  <c r="R479" i="1"/>
  <c r="R483" i="1"/>
  <c r="R487" i="1"/>
  <c r="R491" i="1"/>
  <c r="R495" i="1"/>
  <c r="R499" i="1"/>
  <c r="R503" i="1"/>
  <c r="R507" i="1"/>
  <c r="R511" i="1"/>
  <c r="R515" i="1"/>
  <c r="R519" i="1"/>
  <c r="R523" i="1"/>
  <c r="R527" i="1"/>
  <c r="R531" i="1"/>
  <c r="R535" i="1"/>
  <c r="R539" i="1"/>
  <c r="R543" i="1"/>
  <c r="R547" i="1"/>
  <c r="R551" i="1"/>
  <c r="R555" i="1"/>
  <c r="R559" i="1"/>
  <c r="R563" i="1"/>
  <c r="R567" i="1"/>
  <c r="R571" i="1"/>
  <c r="R575" i="1"/>
  <c r="R579" i="1"/>
  <c r="R583" i="1"/>
  <c r="R587" i="1"/>
  <c r="T66" i="1"/>
  <c r="T194" i="1"/>
  <c r="T314" i="1"/>
  <c r="T385" i="1"/>
  <c r="T449" i="1"/>
  <c r="T491" i="1"/>
  <c r="T513" i="1"/>
  <c r="T529" i="1"/>
  <c r="T545" i="1"/>
  <c r="T561" i="1"/>
  <c r="T577" i="1"/>
  <c r="T593" i="1"/>
  <c r="T609" i="1"/>
  <c r="T625" i="1"/>
  <c r="T641" i="1"/>
  <c r="T657" i="1"/>
  <c r="T673" i="1"/>
  <c r="T689" i="1"/>
  <c r="T705" i="1"/>
  <c r="T721" i="1"/>
  <c r="T737" i="1"/>
  <c r="T751" i="1"/>
  <c r="T759" i="1"/>
  <c r="T767" i="1"/>
  <c r="R8" i="1"/>
  <c r="R12" i="1"/>
  <c r="R16" i="1"/>
  <c r="R20" i="1"/>
  <c r="R24" i="1"/>
  <c r="R28" i="1"/>
  <c r="R32" i="1"/>
  <c r="R36" i="1"/>
  <c r="R40" i="1"/>
  <c r="R44" i="1"/>
  <c r="R48" i="1"/>
  <c r="R52" i="1"/>
  <c r="R56" i="1"/>
  <c r="R60" i="1"/>
  <c r="R64" i="1"/>
  <c r="R68" i="1"/>
  <c r="R72" i="1"/>
  <c r="R76" i="1"/>
  <c r="R80" i="1"/>
  <c r="R84" i="1"/>
  <c r="R88" i="1"/>
  <c r="R92" i="1"/>
  <c r="R96" i="1"/>
  <c r="R100" i="1"/>
  <c r="R104" i="1"/>
  <c r="R108" i="1"/>
  <c r="R112" i="1"/>
  <c r="R116" i="1"/>
  <c r="R120" i="1"/>
  <c r="R124" i="1"/>
  <c r="R128" i="1"/>
  <c r="R132" i="1"/>
  <c r="R136" i="1"/>
  <c r="R140" i="1"/>
  <c r="R144" i="1"/>
  <c r="R148" i="1"/>
  <c r="R152" i="1"/>
  <c r="R156" i="1"/>
  <c r="R160" i="1"/>
  <c r="R164" i="1"/>
  <c r="R168" i="1"/>
  <c r="R172" i="1"/>
  <c r="R176" i="1"/>
  <c r="R180" i="1"/>
  <c r="R184" i="1"/>
  <c r="R188" i="1"/>
  <c r="R192" i="1"/>
  <c r="R196" i="1"/>
  <c r="R200" i="1"/>
  <c r="R204" i="1"/>
  <c r="R208" i="1"/>
  <c r="R212" i="1"/>
  <c r="R216" i="1"/>
  <c r="R220" i="1"/>
  <c r="R224" i="1"/>
  <c r="R228" i="1"/>
  <c r="R232" i="1"/>
  <c r="R236" i="1"/>
  <c r="R240" i="1"/>
  <c r="R244" i="1"/>
  <c r="R248" i="1"/>
  <c r="R252" i="1"/>
  <c r="R256" i="1"/>
  <c r="R260" i="1"/>
  <c r="R264" i="1"/>
  <c r="R268" i="1"/>
  <c r="R272" i="1"/>
  <c r="R276" i="1"/>
  <c r="R280" i="1"/>
  <c r="R284" i="1"/>
  <c r="R288" i="1"/>
  <c r="R292" i="1"/>
  <c r="R296" i="1"/>
  <c r="R300" i="1"/>
  <c r="R304" i="1"/>
  <c r="R308" i="1"/>
  <c r="R312" i="1"/>
  <c r="R316" i="1"/>
  <c r="R320" i="1"/>
  <c r="R324" i="1"/>
  <c r="R328" i="1"/>
  <c r="R332" i="1"/>
  <c r="R336" i="1"/>
  <c r="R340" i="1"/>
  <c r="R344" i="1"/>
  <c r="R348" i="1"/>
  <c r="R352" i="1"/>
  <c r="R356" i="1"/>
  <c r="R360" i="1"/>
  <c r="R364" i="1"/>
  <c r="R368" i="1"/>
  <c r="R372" i="1"/>
  <c r="R376" i="1"/>
  <c r="R380" i="1"/>
  <c r="R384" i="1"/>
  <c r="R388" i="1"/>
  <c r="R392" i="1"/>
  <c r="R396" i="1"/>
  <c r="R400" i="1"/>
  <c r="R404" i="1"/>
  <c r="R408" i="1"/>
  <c r="R412" i="1"/>
  <c r="R416" i="1"/>
  <c r="R420" i="1"/>
  <c r="R424" i="1"/>
  <c r="R428" i="1"/>
  <c r="R432" i="1"/>
  <c r="R436" i="1"/>
  <c r="R440" i="1"/>
  <c r="R444" i="1"/>
  <c r="R448" i="1"/>
  <c r="R452" i="1"/>
  <c r="R456" i="1"/>
  <c r="R460" i="1"/>
  <c r="R464" i="1"/>
  <c r="R468" i="1"/>
  <c r="R472" i="1"/>
  <c r="R476" i="1"/>
  <c r="R480" i="1"/>
  <c r="R484" i="1"/>
  <c r="R488" i="1"/>
  <c r="R492" i="1"/>
  <c r="R496" i="1"/>
  <c r="R500" i="1"/>
  <c r="R504" i="1"/>
  <c r="R508" i="1"/>
  <c r="R512" i="1"/>
  <c r="R516" i="1"/>
  <c r="R520" i="1"/>
  <c r="R524" i="1"/>
  <c r="R528" i="1"/>
  <c r="R532" i="1"/>
  <c r="R536" i="1"/>
  <c r="R540" i="1"/>
  <c r="R544" i="1"/>
  <c r="R548" i="1"/>
  <c r="R552" i="1"/>
  <c r="R556" i="1"/>
  <c r="R560" i="1"/>
  <c r="R564" i="1"/>
  <c r="R568" i="1"/>
  <c r="T98" i="1"/>
  <c r="T226" i="1"/>
  <c r="T335" i="1"/>
  <c r="T401" i="1"/>
  <c r="T465" i="1"/>
  <c r="T499" i="1"/>
  <c r="T517" i="1"/>
  <c r="T533" i="1"/>
  <c r="T549" i="1"/>
  <c r="T565" i="1"/>
  <c r="T581" i="1"/>
  <c r="T597" i="1"/>
  <c r="T613" i="1"/>
  <c r="T629" i="1"/>
  <c r="T645" i="1"/>
  <c r="T661" i="1"/>
  <c r="T677" i="1"/>
  <c r="T693" i="1"/>
  <c r="T709" i="1"/>
  <c r="T725" i="1"/>
  <c r="T741" i="1"/>
  <c r="T753" i="1"/>
  <c r="T761" i="1"/>
  <c r="T769" i="1"/>
  <c r="R9" i="1"/>
  <c r="R13" i="1"/>
  <c r="R17" i="1"/>
  <c r="R21" i="1"/>
  <c r="R25" i="1"/>
  <c r="R29" i="1"/>
  <c r="R33" i="1"/>
  <c r="R37" i="1"/>
  <c r="R41" i="1"/>
  <c r="R45" i="1"/>
  <c r="R49" i="1"/>
  <c r="R53" i="1"/>
  <c r="R57" i="1"/>
  <c r="R61" i="1"/>
  <c r="R65" i="1"/>
  <c r="R69" i="1"/>
  <c r="R73" i="1"/>
  <c r="R77" i="1"/>
  <c r="R81" i="1"/>
  <c r="R85" i="1"/>
  <c r="R89" i="1"/>
  <c r="R93" i="1"/>
  <c r="R97" i="1"/>
  <c r="R101" i="1"/>
  <c r="R105" i="1"/>
  <c r="R109" i="1"/>
  <c r="R113" i="1"/>
  <c r="R117" i="1"/>
  <c r="R121" i="1"/>
  <c r="R125" i="1"/>
  <c r="R129" i="1"/>
  <c r="R133" i="1"/>
  <c r="R137" i="1"/>
  <c r="R141" i="1"/>
  <c r="R145" i="1"/>
  <c r="R149" i="1"/>
  <c r="R153" i="1"/>
  <c r="R157" i="1"/>
  <c r="R161" i="1"/>
  <c r="R165" i="1"/>
  <c r="R169" i="1"/>
  <c r="R173" i="1"/>
  <c r="R177" i="1"/>
  <c r="R181" i="1"/>
  <c r="R185" i="1"/>
  <c r="R189" i="1"/>
  <c r="R193" i="1"/>
  <c r="R197" i="1"/>
  <c r="R201" i="1"/>
  <c r="R205" i="1"/>
  <c r="R209" i="1"/>
  <c r="R213" i="1"/>
  <c r="R217" i="1"/>
  <c r="R221" i="1"/>
  <c r="R225" i="1"/>
  <c r="R229" i="1"/>
  <c r="R233" i="1"/>
  <c r="R237" i="1"/>
  <c r="R241" i="1"/>
  <c r="R245" i="1"/>
  <c r="R249" i="1"/>
  <c r="R253" i="1"/>
  <c r="R257" i="1"/>
  <c r="R261" i="1"/>
  <c r="R265" i="1"/>
  <c r="R269" i="1"/>
  <c r="R273" i="1"/>
  <c r="R277" i="1"/>
  <c r="R281" i="1"/>
  <c r="R285" i="1"/>
  <c r="R289" i="1"/>
  <c r="R293" i="1"/>
  <c r="R297" i="1"/>
  <c r="R301" i="1"/>
  <c r="R305" i="1"/>
  <c r="R309" i="1"/>
  <c r="R313" i="1"/>
  <c r="R317" i="1"/>
  <c r="R321" i="1"/>
  <c r="R325" i="1"/>
  <c r="R329" i="1"/>
  <c r="R333" i="1"/>
  <c r="R337" i="1"/>
  <c r="R341" i="1"/>
  <c r="R345" i="1"/>
  <c r="R349" i="1"/>
  <c r="R353" i="1"/>
  <c r="R357" i="1"/>
  <c r="R361" i="1"/>
  <c r="R365" i="1"/>
  <c r="R369" i="1"/>
  <c r="R373" i="1"/>
  <c r="R377" i="1"/>
  <c r="R381" i="1"/>
  <c r="R385" i="1"/>
  <c r="R389" i="1"/>
  <c r="R393" i="1"/>
  <c r="R397" i="1"/>
  <c r="R401" i="1"/>
  <c r="R405" i="1"/>
  <c r="R409" i="1"/>
  <c r="R413" i="1"/>
  <c r="R417" i="1"/>
  <c r="R421" i="1"/>
  <c r="R425" i="1"/>
  <c r="R429" i="1"/>
  <c r="R433" i="1"/>
  <c r="R437" i="1"/>
  <c r="R441" i="1"/>
  <c r="R445" i="1"/>
  <c r="R449" i="1"/>
  <c r="R453" i="1"/>
  <c r="R457" i="1"/>
  <c r="R461" i="1"/>
  <c r="R465" i="1"/>
  <c r="R469" i="1"/>
  <c r="R473" i="1"/>
  <c r="R477" i="1"/>
  <c r="R481" i="1"/>
  <c r="R485" i="1"/>
  <c r="R489" i="1"/>
  <c r="R493" i="1"/>
  <c r="R497" i="1"/>
  <c r="R501" i="1"/>
  <c r="R505" i="1"/>
  <c r="R509" i="1"/>
  <c r="R513" i="1"/>
  <c r="R517" i="1"/>
  <c r="R521" i="1"/>
  <c r="R525" i="1"/>
  <c r="R529" i="1"/>
  <c r="R533" i="1"/>
  <c r="R537" i="1"/>
  <c r="R541" i="1"/>
  <c r="R545" i="1"/>
  <c r="R549" i="1"/>
  <c r="R553" i="1"/>
  <c r="R557" i="1"/>
  <c r="R561" i="1"/>
  <c r="R565" i="1"/>
  <c r="R569" i="1"/>
  <c r="R573" i="1"/>
  <c r="R577" i="1"/>
  <c r="T130" i="1"/>
  <c r="T475" i="1"/>
  <c r="T553" i="1"/>
  <c r="T617" i="1"/>
  <c r="T681" i="1"/>
  <c r="T745" i="1"/>
  <c r="R10" i="1"/>
  <c r="R26" i="1"/>
  <c r="R42" i="1"/>
  <c r="R58" i="1"/>
  <c r="R74" i="1"/>
  <c r="R90" i="1"/>
  <c r="R106" i="1"/>
  <c r="R122" i="1"/>
  <c r="R138" i="1"/>
  <c r="R154" i="1"/>
  <c r="R170" i="1"/>
  <c r="R186" i="1"/>
  <c r="R202" i="1"/>
  <c r="R218" i="1"/>
  <c r="R234" i="1"/>
  <c r="R250" i="1"/>
  <c r="R266" i="1"/>
  <c r="R282" i="1"/>
  <c r="R298" i="1"/>
  <c r="R314" i="1"/>
  <c r="R330" i="1"/>
  <c r="R346" i="1"/>
  <c r="R362" i="1"/>
  <c r="R378" i="1"/>
  <c r="R394" i="1"/>
  <c r="R410" i="1"/>
  <c r="R426" i="1"/>
  <c r="R442" i="1"/>
  <c r="R458" i="1"/>
  <c r="R474" i="1"/>
  <c r="R490" i="1"/>
  <c r="R506" i="1"/>
  <c r="R522" i="1"/>
  <c r="R538" i="1"/>
  <c r="R554" i="1"/>
  <c r="R570" i="1"/>
  <c r="R578" i="1"/>
  <c r="R584" i="1"/>
  <c r="R589" i="1"/>
  <c r="R593" i="1"/>
  <c r="R597" i="1"/>
  <c r="R601" i="1"/>
  <c r="R605" i="1"/>
  <c r="R609" i="1"/>
  <c r="R613" i="1"/>
  <c r="R617" i="1"/>
  <c r="R621" i="1"/>
  <c r="R625" i="1"/>
  <c r="R629" i="1"/>
  <c r="R633" i="1"/>
  <c r="R637" i="1"/>
  <c r="R641" i="1"/>
  <c r="R645" i="1"/>
  <c r="R649" i="1"/>
  <c r="R653" i="1"/>
  <c r="R657" i="1"/>
  <c r="R661" i="1"/>
  <c r="R665" i="1"/>
  <c r="R669" i="1"/>
  <c r="R673" i="1"/>
  <c r="R677" i="1"/>
  <c r="R681" i="1"/>
  <c r="R685" i="1"/>
  <c r="R689" i="1"/>
  <c r="R693" i="1"/>
  <c r="R697" i="1"/>
  <c r="R701" i="1"/>
  <c r="R705" i="1"/>
  <c r="R709" i="1"/>
  <c r="R713" i="1"/>
  <c r="R717" i="1"/>
  <c r="R721" i="1"/>
  <c r="R725" i="1"/>
  <c r="R729" i="1"/>
  <c r="R733" i="1"/>
  <c r="R737" i="1"/>
  <c r="R741" i="1"/>
  <c r="R745" i="1"/>
  <c r="R749" i="1"/>
  <c r="R753" i="1"/>
  <c r="R757" i="1"/>
  <c r="R761" i="1"/>
  <c r="R765" i="1"/>
  <c r="R769" i="1"/>
  <c r="R2" i="1"/>
  <c r="R750" i="1"/>
  <c r="R754" i="1"/>
  <c r="R762" i="1"/>
  <c r="R770" i="1"/>
  <c r="T601" i="1"/>
  <c r="R54" i="1"/>
  <c r="R86" i="1"/>
  <c r="R118" i="1"/>
  <c r="R166" i="1"/>
  <c r="R198" i="1"/>
  <c r="R246" i="1"/>
  <c r="R326" i="1"/>
  <c r="R374" i="1"/>
  <c r="R406" i="1"/>
  <c r="R454" i="1"/>
  <c r="R502" i="1"/>
  <c r="R550" i="1"/>
  <c r="R588" i="1"/>
  <c r="R600" i="1"/>
  <c r="R612" i="1"/>
  <c r="R628" i="1"/>
  <c r="R644" i="1"/>
  <c r="R656" i="1"/>
  <c r="R664" i="1"/>
  <c r="R676" i="1"/>
  <c r="R688" i="1"/>
  <c r="R700" i="1"/>
  <c r="R712" i="1"/>
  <c r="R724" i="1"/>
  <c r="R740" i="1"/>
  <c r="R756" i="1"/>
  <c r="R768" i="1"/>
  <c r="T258" i="1"/>
  <c r="T505" i="1"/>
  <c r="T569" i="1"/>
  <c r="T633" i="1"/>
  <c r="T697" i="1"/>
  <c r="T755" i="1"/>
  <c r="R14" i="1"/>
  <c r="R30" i="1"/>
  <c r="R46" i="1"/>
  <c r="R62" i="1"/>
  <c r="R78" i="1"/>
  <c r="R94" i="1"/>
  <c r="R110" i="1"/>
  <c r="R126" i="1"/>
  <c r="R142" i="1"/>
  <c r="R158" i="1"/>
  <c r="R174" i="1"/>
  <c r="R190" i="1"/>
  <c r="R206" i="1"/>
  <c r="R222" i="1"/>
  <c r="R238" i="1"/>
  <c r="R254" i="1"/>
  <c r="R270" i="1"/>
  <c r="R286" i="1"/>
  <c r="R302" i="1"/>
  <c r="R318" i="1"/>
  <c r="R334" i="1"/>
  <c r="R350" i="1"/>
  <c r="R366" i="1"/>
  <c r="R382" i="1"/>
  <c r="R398" i="1"/>
  <c r="R414" i="1"/>
  <c r="R430" i="1"/>
  <c r="R446" i="1"/>
  <c r="R462" i="1"/>
  <c r="R478" i="1"/>
  <c r="R494" i="1"/>
  <c r="R510" i="1"/>
  <c r="R526" i="1"/>
  <c r="R542" i="1"/>
  <c r="R558" i="1"/>
  <c r="R572" i="1"/>
  <c r="R580" i="1"/>
  <c r="R585" i="1"/>
  <c r="R590" i="1"/>
  <c r="R594" i="1"/>
  <c r="R598" i="1"/>
  <c r="R602" i="1"/>
  <c r="R606" i="1"/>
  <c r="R610" i="1"/>
  <c r="R614" i="1"/>
  <c r="R618" i="1"/>
  <c r="R622" i="1"/>
  <c r="R626" i="1"/>
  <c r="R630" i="1"/>
  <c r="R634" i="1"/>
  <c r="R638" i="1"/>
  <c r="R642" i="1"/>
  <c r="R646" i="1"/>
  <c r="R650" i="1"/>
  <c r="R654" i="1"/>
  <c r="R658" i="1"/>
  <c r="R662" i="1"/>
  <c r="R666" i="1"/>
  <c r="R670" i="1"/>
  <c r="R674" i="1"/>
  <c r="R678" i="1"/>
  <c r="R682" i="1"/>
  <c r="R686" i="1"/>
  <c r="R690" i="1"/>
  <c r="R694" i="1"/>
  <c r="R698" i="1"/>
  <c r="R702" i="1"/>
  <c r="R706" i="1"/>
  <c r="R710" i="1"/>
  <c r="R714" i="1"/>
  <c r="R718" i="1"/>
  <c r="R722" i="1"/>
  <c r="R726" i="1"/>
  <c r="R730" i="1"/>
  <c r="R734" i="1"/>
  <c r="R738" i="1"/>
  <c r="R742" i="1"/>
  <c r="R746" i="1"/>
  <c r="R758" i="1"/>
  <c r="R766" i="1"/>
  <c r="T665" i="1"/>
  <c r="R150" i="1"/>
  <c r="R230" i="1"/>
  <c r="R278" i="1"/>
  <c r="R310" i="1"/>
  <c r="R358" i="1"/>
  <c r="R438" i="1"/>
  <c r="R486" i="1"/>
  <c r="R534" i="1"/>
  <c r="R576" i="1"/>
  <c r="R596" i="1"/>
  <c r="R608" i="1"/>
  <c r="R620" i="1"/>
  <c r="R632" i="1"/>
  <c r="R640" i="1"/>
  <c r="R652" i="1"/>
  <c r="R668" i="1"/>
  <c r="R680" i="1"/>
  <c r="R692" i="1"/>
  <c r="R708" i="1"/>
  <c r="R720" i="1"/>
  <c r="R736" i="1"/>
  <c r="R748" i="1"/>
  <c r="R760" i="1"/>
  <c r="R3" i="1"/>
  <c r="T353" i="1"/>
  <c r="T521" i="1"/>
  <c r="T585" i="1"/>
  <c r="T649" i="1"/>
  <c r="T713" i="1"/>
  <c r="T763" i="1"/>
  <c r="R18" i="1"/>
  <c r="R34" i="1"/>
  <c r="R50" i="1"/>
  <c r="R66" i="1"/>
  <c r="R82" i="1"/>
  <c r="R98" i="1"/>
  <c r="R114" i="1"/>
  <c r="R130" i="1"/>
  <c r="R146" i="1"/>
  <c r="R162" i="1"/>
  <c r="R178" i="1"/>
  <c r="R194" i="1"/>
  <c r="R210" i="1"/>
  <c r="R226" i="1"/>
  <c r="R242" i="1"/>
  <c r="R258" i="1"/>
  <c r="R274" i="1"/>
  <c r="R290" i="1"/>
  <c r="R306" i="1"/>
  <c r="R322" i="1"/>
  <c r="R338" i="1"/>
  <c r="R354" i="1"/>
  <c r="R370" i="1"/>
  <c r="R386" i="1"/>
  <c r="R402" i="1"/>
  <c r="R418" i="1"/>
  <c r="R434" i="1"/>
  <c r="R450" i="1"/>
  <c r="R466" i="1"/>
  <c r="R482" i="1"/>
  <c r="R498" i="1"/>
  <c r="R514" i="1"/>
  <c r="R530" i="1"/>
  <c r="R546" i="1"/>
  <c r="R562" i="1"/>
  <c r="R574" i="1"/>
  <c r="R581" i="1"/>
  <c r="R586" i="1"/>
  <c r="R591" i="1"/>
  <c r="R595" i="1"/>
  <c r="R599" i="1"/>
  <c r="R603" i="1"/>
  <c r="R607" i="1"/>
  <c r="R611" i="1"/>
  <c r="R615" i="1"/>
  <c r="R619" i="1"/>
  <c r="R623" i="1"/>
  <c r="R627" i="1"/>
  <c r="R631" i="1"/>
  <c r="R635" i="1"/>
  <c r="R639" i="1"/>
  <c r="R643" i="1"/>
  <c r="R647" i="1"/>
  <c r="R651" i="1"/>
  <c r="R655" i="1"/>
  <c r="R659" i="1"/>
  <c r="R663" i="1"/>
  <c r="R667" i="1"/>
  <c r="R671" i="1"/>
  <c r="R675" i="1"/>
  <c r="R679" i="1"/>
  <c r="R683" i="1"/>
  <c r="R687" i="1"/>
  <c r="R691" i="1"/>
  <c r="R695" i="1"/>
  <c r="R699" i="1"/>
  <c r="R703" i="1"/>
  <c r="R707" i="1"/>
  <c r="R711" i="1"/>
  <c r="R715" i="1"/>
  <c r="R719" i="1"/>
  <c r="R723" i="1"/>
  <c r="R727" i="1"/>
  <c r="R731" i="1"/>
  <c r="R735" i="1"/>
  <c r="R739" i="1"/>
  <c r="R743" i="1"/>
  <c r="R747" i="1"/>
  <c r="R751" i="1"/>
  <c r="R755" i="1"/>
  <c r="R759" i="1"/>
  <c r="R763" i="1"/>
  <c r="R767" i="1"/>
  <c r="R4" i="1"/>
  <c r="T417" i="1"/>
  <c r="T537" i="1"/>
  <c r="T729" i="1"/>
  <c r="T2" i="1"/>
  <c r="R22" i="1"/>
  <c r="R38" i="1"/>
  <c r="R70" i="1"/>
  <c r="R102" i="1"/>
  <c r="R134" i="1"/>
  <c r="R182" i="1"/>
  <c r="R214" i="1"/>
  <c r="R262" i="1"/>
  <c r="R294" i="1"/>
  <c r="R342" i="1"/>
  <c r="R390" i="1"/>
  <c r="R422" i="1"/>
  <c r="R470" i="1"/>
  <c r="R518" i="1"/>
  <c r="R566" i="1"/>
  <c r="R582" i="1"/>
  <c r="R592" i="1"/>
  <c r="R604" i="1"/>
  <c r="R616" i="1"/>
  <c r="R624" i="1"/>
  <c r="R636" i="1"/>
  <c r="R648" i="1"/>
  <c r="R660" i="1"/>
  <c r="R672" i="1"/>
  <c r="R684" i="1"/>
  <c r="R696" i="1"/>
  <c r="R704" i="1"/>
  <c r="R716" i="1"/>
  <c r="R728" i="1"/>
  <c r="R732" i="1"/>
  <c r="R744" i="1"/>
  <c r="R752" i="1"/>
  <c r="R764" i="1"/>
  <c r="O10" i="1"/>
  <c r="O14" i="1"/>
  <c r="O18" i="1"/>
  <c r="O22" i="1"/>
  <c r="O26" i="1"/>
  <c r="O30" i="1"/>
  <c r="O34" i="1"/>
  <c r="O38" i="1"/>
  <c r="O42" i="1"/>
  <c r="O46" i="1"/>
  <c r="O50" i="1"/>
  <c r="O54" i="1"/>
  <c r="O58" i="1"/>
  <c r="O62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O182" i="1"/>
  <c r="O186" i="1"/>
  <c r="O190" i="1"/>
  <c r="O194" i="1"/>
  <c r="O198" i="1"/>
  <c r="O202" i="1"/>
  <c r="O206" i="1"/>
  <c r="O210" i="1"/>
  <c r="O214" i="1"/>
  <c r="O218" i="1"/>
  <c r="O222" i="1"/>
  <c r="O226" i="1"/>
  <c r="O230" i="1"/>
  <c r="O234" i="1"/>
  <c r="O238" i="1"/>
  <c r="O242" i="1"/>
  <c r="O246" i="1"/>
  <c r="O250" i="1"/>
  <c r="O254" i="1"/>
  <c r="O258" i="1"/>
  <c r="O262" i="1"/>
  <c r="O266" i="1"/>
  <c r="O270" i="1"/>
  <c r="O274" i="1"/>
  <c r="O278" i="1"/>
  <c r="O282" i="1"/>
  <c r="O286" i="1"/>
  <c r="O290" i="1"/>
  <c r="O294" i="1"/>
  <c r="O298" i="1"/>
  <c r="O302" i="1"/>
  <c r="O8" i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88" i="1"/>
  <c r="O192" i="1"/>
  <c r="O196" i="1"/>
  <c r="O200" i="1"/>
  <c r="O204" i="1"/>
  <c r="O208" i="1"/>
  <c r="O212" i="1"/>
  <c r="O216" i="1"/>
  <c r="O220" i="1"/>
  <c r="O224" i="1"/>
  <c r="O228" i="1"/>
  <c r="O232" i="1"/>
  <c r="O236" i="1"/>
  <c r="O240" i="1"/>
  <c r="O244" i="1"/>
  <c r="O248" i="1"/>
  <c r="O252" i="1"/>
  <c r="O256" i="1"/>
  <c r="O260" i="1"/>
  <c r="O264" i="1"/>
  <c r="O268" i="1"/>
  <c r="O272" i="1"/>
  <c r="O276" i="1"/>
  <c r="O280" i="1"/>
  <c r="O284" i="1"/>
  <c r="O288" i="1"/>
  <c r="O292" i="1"/>
  <c r="O296" i="1"/>
  <c r="O300" i="1"/>
  <c r="O304" i="1"/>
  <c r="O308" i="1"/>
  <c r="O312" i="1"/>
  <c r="O316" i="1"/>
  <c r="O15" i="1"/>
  <c r="O23" i="1"/>
  <c r="O31" i="1"/>
  <c r="O39" i="1"/>
  <c r="O47" i="1"/>
  <c r="O55" i="1"/>
  <c r="O63" i="1"/>
  <c r="O71" i="1"/>
  <c r="O79" i="1"/>
  <c r="O87" i="1"/>
  <c r="O95" i="1"/>
  <c r="O103" i="1"/>
  <c r="O111" i="1"/>
  <c r="O119" i="1"/>
  <c r="O127" i="1"/>
  <c r="O135" i="1"/>
  <c r="O143" i="1"/>
  <c r="O151" i="1"/>
  <c r="O159" i="1"/>
  <c r="O167" i="1"/>
  <c r="O175" i="1"/>
  <c r="O183" i="1"/>
  <c r="O191" i="1"/>
  <c r="O199" i="1"/>
  <c r="O207" i="1"/>
  <c r="O215" i="1"/>
  <c r="O223" i="1"/>
  <c r="O231" i="1"/>
  <c r="O239" i="1"/>
  <c r="O247" i="1"/>
  <c r="O255" i="1"/>
  <c r="O13" i="1"/>
  <c r="O21" i="1"/>
  <c r="O29" i="1"/>
  <c r="O37" i="1"/>
  <c r="O45" i="1"/>
  <c r="O53" i="1"/>
  <c r="O61" i="1"/>
  <c r="O69" i="1"/>
  <c r="O77" i="1"/>
  <c r="O85" i="1"/>
  <c r="O93" i="1"/>
  <c r="O101" i="1"/>
  <c r="O109" i="1"/>
  <c r="O117" i="1"/>
  <c r="O125" i="1"/>
  <c r="O133" i="1"/>
  <c r="O141" i="1"/>
  <c r="O149" i="1"/>
  <c r="O157" i="1"/>
  <c r="O165" i="1"/>
  <c r="O173" i="1"/>
  <c r="O181" i="1"/>
  <c r="O189" i="1"/>
  <c r="O197" i="1"/>
  <c r="O205" i="1"/>
  <c r="O213" i="1"/>
  <c r="O221" i="1"/>
  <c r="O229" i="1"/>
  <c r="O237" i="1"/>
  <c r="O245" i="1"/>
  <c r="O253" i="1"/>
  <c r="O261" i="1"/>
  <c r="O269" i="1"/>
  <c r="O277" i="1"/>
  <c r="O285" i="1"/>
  <c r="O293" i="1"/>
  <c r="O301" i="1"/>
  <c r="O307" i="1"/>
  <c r="O313" i="1"/>
  <c r="O9" i="1"/>
  <c r="O25" i="1"/>
  <c r="O41" i="1"/>
  <c r="O57" i="1"/>
  <c r="O73" i="1"/>
  <c r="O89" i="1"/>
  <c r="O105" i="1"/>
  <c r="O121" i="1"/>
  <c r="O137" i="1"/>
  <c r="O153" i="1"/>
  <c r="O169" i="1"/>
  <c r="O185" i="1"/>
  <c r="O201" i="1"/>
  <c r="O217" i="1"/>
  <c r="O233" i="1"/>
  <c r="O249" i="1"/>
  <c r="O263" i="1"/>
  <c r="O273" i="1"/>
  <c r="O283" i="1"/>
  <c r="O295" i="1"/>
  <c r="O305" i="1"/>
  <c r="O311" i="1"/>
  <c r="O318" i="1"/>
  <c r="O322" i="1"/>
  <c r="O326" i="1"/>
  <c r="O330" i="1"/>
  <c r="O334" i="1"/>
  <c r="O338" i="1"/>
  <c r="O342" i="1"/>
  <c r="O346" i="1"/>
  <c r="O350" i="1"/>
  <c r="O354" i="1"/>
  <c r="O358" i="1"/>
  <c r="O362" i="1"/>
  <c r="O366" i="1"/>
  <c r="O370" i="1"/>
  <c r="O374" i="1"/>
  <c r="O378" i="1"/>
  <c r="O382" i="1"/>
  <c r="O386" i="1"/>
  <c r="O390" i="1"/>
  <c r="O394" i="1"/>
  <c r="O398" i="1"/>
  <c r="O402" i="1"/>
  <c r="O406" i="1"/>
  <c r="O410" i="1"/>
  <c r="O414" i="1"/>
  <c r="O418" i="1"/>
  <c r="O422" i="1"/>
  <c r="O426" i="1"/>
  <c r="O430" i="1"/>
  <c r="O434" i="1"/>
  <c r="O438" i="1"/>
  <c r="O442" i="1"/>
  <c r="O446" i="1"/>
  <c r="O450" i="1"/>
  <c r="O454" i="1"/>
  <c r="O458" i="1"/>
  <c r="O462" i="1"/>
  <c r="O466" i="1"/>
  <c r="O470" i="1"/>
  <c r="O474" i="1"/>
  <c r="O478" i="1"/>
  <c r="O482" i="1"/>
  <c r="O486" i="1"/>
  <c r="O490" i="1"/>
  <c r="O494" i="1"/>
  <c r="O498" i="1"/>
  <c r="O502" i="1"/>
  <c r="O506" i="1"/>
  <c r="O510" i="1"/>
  <c r="O514" i="1"/>
  <c r="O518" i="1"/>
  <c r="O522" i="1"/>
  <c r="O526" i="1"/>
  <c r="O530" i="1"/>
  <c r="O534" i="1"/>
  <c r="O538" i="1"/>
  <c r="O542" i="1"/>
  <c r="O546" i="1"/>
  <c r="O550" i="1"/>
  <c r="O554" i="1"/>
  <c r="O558" i="1"/>
  <c r="O562" i="1"/>
  <c r="O566" i="1"/>
  <c r="O570" i="1"/>
  <c r="O574" i="1"/>
  <c r="O578" i="1"/>
  <c r="O582" i="1"/>
  <c r="O586" i="1"/>
  <c r="O590" i="1"/>
  <c r="O594" i="1"/>
  <c r="O598" i="1"/>
  <c r="O602" i="1"/>
  <c r="O606" i="1"/>
  <c r="O610" i="1"/>
  <c r="O614" i="1"/>
  <c r="O618" i="1"/>
  <c r="O622" i="1"/>
  <c r="O626" i="1"/>
  <c r="O630" i="1"/>
  <c r="O634" i="1"/>
  <c r="O638" i="1"/>
  <c r="O642" i="1"/>
  <c r="O646" i="1"/>
  <c r="O650" i="1"/>
  <c r="O654" i="1"/>
  <c r="O658" i="1"/>
  <c r="O662" i="1"/>
  <c r="O666" i="1"/>
  <c r="O670" i="1"/>
  <c r="O674" i="1"/>
  <c r="O678" i="1"/>
  <c r="O682" i="1"/>
  <c r="O686" i="1"/>
  <c r="O690" i="1"/>
  <c r="O694" i="1"/>
  <c r="O698" i="1"/>
  <c r="O702" i="1"/>
  <c r="O706" i="1"/>
  <c r="O710" i="1"/>
  <c r="O714" i="1"/>
  <c r="O718" i="1"/>
  <c r="O722" i="1"/>
  <c r="O726" i="1"/>
  <c r="O730" i="1"/>
  <c r="O734" i="1"/>
  <c r="O738" i="1"/>
  <c r="O742" i="1"/>
  <c r="O746" i="1"/>
  <c r="O750" i="1"/>
  <c r="O754" i="1"/>
  <c r="O758" i="1"/>
  <c r="O762" i="1"/>
  <c r="O766" i="1"/>
  <c r="O770" i="1"/>
  <c r="O6" i="1"/>
  <c r="O17" i="1"/>
  <c r="O33" i="1"/>
  <c r="O49" i="1"/>
  <c r="O65" i="1"/>
  <c r="O81" i="1"/>
  <c r="O97" i="1"/>
  <c r="O113" i="1"/>
  <c r="O129" i="1"/>
  <c r="O145" i="1"/>
  <c r="O161" i="1"/>
  <c r="O177" i="1"/>
  <c r="O193" i="1"/>
  <c r="O209" i="1"/>
  <c r="O225" i="1"/>
  <c r="O241" i="1"/>
  <c r="O257" i="1"/>
  <c r="O267" i="1"/>
  <c r="O279" i="1"/>
  <c r="O289" i="1"/>
  <c r="O299" i="1"/>
  <c r="O309" i="1"/>
  <c r="O315" i="1"/>
  <c r="O320" i="1"/>
  <c r="O324" i="1"/>
  <c r="O328" i="1"/>
  <c r="O332" i="1"/>
  <c r="O336" i="1"/>
  <c r="O340" i="1"/>
  <c r="O344" i="1"/>
  <c r="O348" i="1"/>
  <c r="O352" i="1"/>
  <c r="O356" i="1"/>
  <c r="O360" i="1"/>
  <c r="O364" i="1"/>
  <c r="O368" i="1"/>
  <c r="O372" i="1"/>
  <c r="O376" i="1"/>
  <c r="O380" i="1"/>
  <c r="O384" i="1"/>
  <c r="O388" i="1"/>
  <c r="O392" i="1"/>
  <c r="O396" i="1"/>
  <c r="O400" i="1"/>
  <c r="O404" i="1"/>
  <c r="O408" i="1"/>
  <c r="O412" i="1"/>
  <c r="O416" i="1"/>
  <c r="O420" i="1"/>
  <c r="O424" i="1"/>
  <c r="O428" i="1"/>
  <c r="O432" i="1"/>
  <c r="O436" i="1"/>
  <c r="O440" i="1"/>
  <c r="O444" i="1"/>
  <c r="O448" i="1"/>
  <c r="O452" i="1"/>
  <c r="O456" i="1"/>
  <c r="O460" i="1"/>
  <c r="O464" i="1"/>
  <c r="O468" i="1"/>
  <c r="O472" i="1"/>
  <c r="O476" i="1"/>
  <c r="O480" i="1"/>
  <c r="O484" i="1"/>
  <c r="O488" i="1"/>
  <c r="O492" i="1"/>
  <c r="O496" i="1"/>
  <c r="O500" i="1"/>
  <c r="O504" i="1"/>
  <c r="O508" i="1"/>
  <c r="O512" i="1"/>
  <c r="O516" i="1"/>
  <c r="O520" i="1"/>
  <c r="O524" i="1"/>
  <c r="O528" i="1"/>
  <c r="O532" i="1"/>
  <c r="O536" i="1"/>
  <c r="O540" i="1"/>
  <c r="O544" i="1"/>
  <c r="O548" i="1"/>
  <c r="O552" i="1"/>
  <c r="O556" i="1"/>
  <c r="O560" i="1"/>
  <c r="O564" i="1"/>
  <c r="O568" i="1"/>
  <c r="O572" i="1"/>
  <c r="O576" i="1"/>
  <c r="O580" i="1"/>
  <c r="O584" i="1"/>
  <c r="O588" i="1"/>
  <c r="O592" i="1"/>
  <c r="O596" i="1"/>
  <c r="O600" i="1"/>
  <c r="O604" i="1"/>
  <c r="O608" i="1"/>
  <c r="O612" i="1"/>
  <c r="O616" i="1"/>
  <c r="O620" i="1"/>
  <c r="O624" i="1"/>
  <c r="O628" i="1"/>
  <c r="O632" i="1"/>
  <c r="O636" i="1"/>
  <c r="O640" i="1"/>
  <c r="O644" i="1"/>
  <c r="O648" i="1"/>
  <c r="O652" i="1"/>
  <c r="O656" i="1"/>
  <c r="O660" i="1"/>
  <c r="O664" i="1"/>
  <c r="O668" i="1"/>
  <c r="O672" i="1"/>
  <c r="O676" i="1"/>
  <c r="O680" i="1"/>
  <c r="O684" i="1"/>
  <c r="O688" i="1"/>
  <c r="O692" i="1"/>
  <c r="O696" i="1"/>
  <c r="O700" i="1"/>
  <c r="O704" i="1"/>
  <c r="O708" i="1"/>
  <c r="O712" i="1"/>
  <c r="O716" i="1"/>
  <c r="O720" i="1"/>
  <c r="O724" i="1"/>
  <c r="O728" i="1"/>
  <c r="O732" i="1"/>
  <c r="O736" i="1"/>
  <c r="O740" i="1"/>
  <c r="O744" i="1"/>
  <c r="O748" i="1"/>
  <c r="O752" i="1"/>
  <c r="O756" i="1"/>
  <c r="O760" i="1"/>
  <c r="O764" i="1"/>
  <c r="O768" i="1"/>
  <c r="O4" i="1"/>
  <c r="O2" i="1"/>
  <c r="O27" i="1"/>
  <c r="O59" i="1"/>
  <c r="O91" i="1"/>
  <c r="O123" i="1"/>
  <c r="O155" i="1"/>
  <c r="O187" i="1"/>
  <c r="O219" i="1"/>
  <c r="O251" i="1"/>
  <c r="O275" i="1"/>
  <c r="O297" i="1"/>
  <c r="O314" i="1"/>
  <c r="O323" i="1"/>
  <c r="O331" i="1"/>
  <c r="O339" i="1"/>
  <c r="O347" i="1"/>
  <c r="O355" i="1"/>
  <c r="O363" i="1"/>
  <c r="O371" i="1"/>
  <c r="O379" i="1"/>
  <c r="O387" i="1"/>
  <c r="O395" i="1"/>
  <c r="O403" i="1"/>
  <c r="O411" i="1"/>
  <c r="O419" i="1"/>
  <c r="O427" i="1"/>
  <c r="O435" i="1"/>
  <c r="O443" i="1"/>
  <c r="O451" i="1"/>
  <c r="O459" i="1"/>
  <c r="O467" i="1"/>
  <c r="O475" i="1"/>
  <c r="O483" i="1"/>
  <c r="O491" i="1"/>
  <c r="O499" i="1"/>
  <c r="O507" i="1"/>
  <c r="O515" i="1"/>
  <c r="O523" i="1"/>
  <c r="O531" i="1"/>
  <c r="O539" i="1"/>
  <c r="O547" i="1"/>
  <c r="O555" i="1"/>
  <c r="O563" i="1"/>
  <c r="O571" i="1"/>
  <c r="O579" i="1"/>
  <c r="O587" i="1"/>
  <c r="O595" i="1"/>
  <c r="O603" i="1"/>
  <c r="O611" i="1"/>
  <c r="O619" i="1"/>
  <c r="O627" i="1"/>
  <c r="O635" i="1"/>
  <c r="O643" i="1"/>
  <c r="O651" i="1"/>
  <c r="O659" i="1"/>
  <c r="O667" i="1"/>
  <c r="O675" i="1"/>
  <c r="O683" i="1"/>
  <c r="O691" i="1"/>
  <c r="O699" i="1"/>
  <c r="O707" i="1"/>
  <c r="O715" i="1"/>
  <c r="O723" i="1"/>
  <c r="O731" i="1"/>
  <c r="O739" i="1"/>
  <c r="O747" i="1"/>
  <c r="O755" i="1"/>
  <c r="O763" i="1"/>
  <c r="O3" i="1"/>
  <c r="O35" i="1"/>
  <c r="O67" i="1"/>
  <c r="O99" i="1"/>
  <c r="O131" i="1"/>
  <c r="O163" i="1"/>
  <c r="O195" i="1"/>
  <c r="O227" i="1"/>
  <c r="O259" i="1"/>
  <c r="O281" i="1"/>
  <c r="O303" i="1"/>
  <c r="O317" i="1"/>
  <c r="O325" i="1"/>
  <c r="O333" i="1"/>
  <c r="O341" i="1"/>
  <c r="O349" i="1"/>
  <c r="O357" i="1"/>
  <c r="O365" i="1"/>
  <c r="O373" i="1"/>
  <c r="O381" i="1"/>
  <c r="O389" i="1"/>
  <c r="O397" i="1"/>
  <c r="O405" i="1"/>
  <c r="O413" i="1"/>
  <c r="O421" i="1"/>
  <c r="O429" i="1"/>
  <c r="O437" i="1"/>
  <c r="O445" i="1"/>
  <c r="O453" i="1"/>
  <c r="O461" i="1"/>
  <c r="O469" i="1"/>
  <c r="O477" i="1"/>
  <c r="O485" i="1"/>
  <c r="O493" i="1"/>
  <c r="O501" i="1"/>
  <c r="O509" i="1"/>
  <c r="O517" i="1"/>
  <c r="O525" i="1"/>
  <c r="O533" i="1"/>
  <c r="O541" i="1"/>
  <c r="O549" i="1"/>
  <c r="O557" i="1"/>
  <c r="O565" i="1"/>
  <c r="O573" i="1"/>
  <c r="O581" i="1"/>
  <c r="O589" i="1"/>
  <c r="O597" i="1"/>
  <c r="O605" i="1"/>
  <c r="O613" i="1"/>
  <c r="O621" i="1"/>
  <c r="O629" i="1"/>
  <c r="O637" i="1"/>
  <c r="O645" i="1"/>
  <c r="O653" i="1"/>
  <c r="O661" i="1"/>
  <c r="O669" i="1"/>
  <c r="O677" i="1"/>
  <c r="O685" i="1"/>
  <c r="O693" i="1"/>
  <c r="O701" i="1"/>
  <c r="O709" i="1"/>
  <c r="O717" i="1"/>
  <c r="O725" i="1"/>
  <c r="O733" i="1"/>
  <c r="O741" i="1"/>
  <c r="O749" i="1"/>
  <c r="O757" i="1"/>
  <c r="O765" i="1"/>
  <c r="O5" i="1"/>
  <c r="O11" i="1"/>
  <c r="O43" i="1"/>
  <c r="O75" i="1"/>
  <c r="O107" i="1"/>
  <c r="O139" i="1"/>
  <c r="O171" i="1"/>
  <c r="O203" i="1"/>
  <c r="O235" i="1"/>
  <c r="O265" i="1"/>
  <c r="O287" i="1"/>
  <c r="O306" i="1"/>
  <c r="O319" i="1"/>
  <c r="O327" i="1"/>
  <c r="O335" i="1"/>
  <c r="O343" i="1"/>
  <c r="O351" i="1"/>
  <c r="O359" i="1"/>
  <c r="O367" i="1"/>
  <c r="O375" i="1"/>
  <c r="O383" i="1"/>
  <c r="O391" i="1"/>
  <c r="O399" i="1"/>
  <c r="O407" i="1"/>
  <c r="O415" i="1"/>
  <c r="O423" i="1"/>
  <c r="O431" i="1"/>
  <c r="O439" i="1"/>
  <c r="O447" i="1"/>
  <c r="O455" i="1"/>
  <c r="O463" i="1"/>
  <c r="O471" i="1"/>
  <c r="O479" i="1"/>
  <c r="O487" i="1"/>
  <c r="O495" i="1"/>
  <c r="O503" i="1"/>
  <c r="O511" i="1"/>
  <c r="O519" i="1"/>
  <c r="O527" i="1"/>
  <c r="O535" i="1"/>
  <c r="O543" i="1"/>
  <c r="O551" i="1"/>
  <c r="O559" i="1"/>
  <c r="O567" i="1"/>
  <c r="O575" i="1"/>
  <c r="O583" i="1"/>
  <c r="O591" i="1"/>
  <c r="O599" i="1"/>
  <c r="O607" i="1"/>
  <c r="O615" i="1"/>
  <c r="O623" i="1"/>
  <c r="O631" i="1"/>
  <c r="O639" i="1"/>
  <c r="O647" i="1"/>
  <c r="O655" i="1"/>
  <c r="O663" i="1"/>
  <c r="O671" i="1"/>
  <c r="O679" i="1"/>
  <c r="O687" i="1"/>
  <c r="O695" i="1"/>
  <c r="O703" i="1"/>
  <c r="O711" i="1"/>
  <c r="O719" i="1"/>
  <c r="O727" i="1"/>
  <c r="O735" i="1"/>
  <c r="O743" i="1"/>
  <c r="O751" i="1"/>
  <c r="O759" i="1"/>
  <c r="O767" i="1"/>
  <c r="O7" i="1"/>
  <c r="O19" i="1"/>
  <c r="O51" i="1"/>
  <c r="O83" i="1"/>
  <c r="O115" i="1"/>
  <c r="O147" i="1"/>
  <c r="O179" i="1"/>
  <c r="O211" i="1"/>
  <c r="O243" i="1"/>
  <c r="O271" i="1"/>
  <c r="O291" i="1"/>
  <c r="O310" i="1"/>
  <c r="O321" i="1"/>
  <c r="O329" i="1"/>
  <c r="O337" i="1"/>
  <c r="O345" i="1"/>
  <c r="O353" i="1"/>
  <c r="O361" i="1"/>
  <c r="O369" i="1"/>
  <c r="O377" i="1"/>
  <c r="O385" i="1"/>
  <c r="O393" i="1"/>
  <c r="O401" i="1"/>
  <c r="O409" i="1"/>
  <c r="O417" i="1"/>
  <c r="O425" i="1"/>
  <c r="O433" i="1"/>
  <c r="O441" i="1"/>
  <c r="O449" i="1"/>
  <c r="O457" i="1"/>
  <c r="O465" i="1"/>
  <c r="O473" i="1"/>
  <c r="O481" i="1"/>
  <c r="O489" i="1"/>
  <c r="O497" i="1"/>
  <c r="O505" i="1"/>
  <c r="O513" i="1"/>
  <c r="O521" i="1"/>
  <c r="O529" i="1"/>
  <c r="O537" i="1"/>
  <c r="O545" i="1"/>
  <c r="O553" i="1"/>
  <c r="O561" i="1"/>
  <c r="O569" i="1"/>
  <c r="O577" i="1"/>
  <c r="O585" i="1"/>
  <c r="O593" i="1"/>
  <c r="O601" i="1"/>
  <c r="O609" i="1"/>
  <c r="O617" i="1"/>
  <c r="O625" i="1"/>
  <c r="O633" i="1"/>
  <c r="O641" i="1"/>
  <c r="O649" i="1"/>
  <c r="O657" i="1"/>
  <c r="O665" i="1"/>
  <c r="O673" i="1"/>
  <c r="O681" i="1"/>
  <c r="O689" i="1"/>
  <c r="O697" i="1"/>
  <c r="O705" i="1"/>
  <c r="O713" i="1"/>
  <c r="O721" i="1"/>
  <c r="O729" i="1"/>
  <c r="O737" i="1"/>
  <c r="O745" i="1"/>
  <c r="O753" i="1"/>
  <c r="O761" i="1"/>
  <c r="O769" i="1"/>
  <c r="P5" i="1"/>
  <c r="P9" i="1"/>
  <c r="P13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P85" i="1"/>
  <c r="P89" i="1"/>
  <c r="P93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149" i="1"/>
  <c r="P153" i="1"/>
  <c r="P157" i="1"/>
  <c r="P161" i="1"/>
  <c r="P165" i="1"/>
  <c r="P169" i="1"/>
  <c r="P173" i="1"/>
  <c r="P177" i="1"/>
  <c r="P181" i="1"/>
  <c r="P185" i="1"/>
  <c r="P189" i="1"/>
  <c r="P193" i="1"/>
  <c r="P197" i="1"/>
  <c r="P201" i="1"/>
  <c r="P205" i="1"/>
  <c r="P209" i="1"/>
  <c r="P213" i="1"/>
  <c r="P217" i="1"/>
  <c r="P221" i="1"/>
  <c r="P225" i="1"/>
  <c r="P229" i="1"/>
  <c r="P233" i="1"/>
  <c r="P237" i="1"/>
  <c r="P241" i="1"/>
  <c r="P245" i="1"/>
  <c r="P249" i="1"/>
  <c r="P253" i="1"/>
  <c r="P257" i="1"/>
  <c r="P261" i="1"/>
  <c r="P265" i="1"/>
  <c r="P269" i="1"/>
  <c r="P273" i="1"/>
  <c r="P277" i="1"/>
  <c r="P281" i="1"/>
  <c r="P285" i="1"/>
  <c r="P289" i="1"/>
  <c r="P293" i="1"/>
  <c r="P297" i="1"/>
  <c r="P301" i="1"/>
  <c r="P305" i="1"/>
  <c r="P309" i="1"/>
  <c r="P313" i="1"/>
  <c r="P317" i="1"/>
  <c r="P321" i="1"/>
  <c r="P325" i="1"/>
  <c r="P329" i="1"/>
  <c r="P333" i="1"/>
  <c r="P337" i="1"/>
  <c r="P341" i="1"/>
  <c r="P6" i="1"/>
  <c r="P10" i="1"/>
  <c r="P14" i="1"/>
  <c r="P18" i="1"/>
  <c r="P22" i="1"/>
  <c r="P26" i="1"/>
  <c r="P30" i="1"/>
  <c r="P34" i="1"/>
  <c r="P38" i="1"/>
  <c r="P42" i="1"/>
  <c r="P46" i="1"/>
  <c r="P50" i="1"/>
  <c r="P54" i="1"/>
  <c r="P58" i="1"/>
  <c r="P62" i="1"/>
  <c r="P66" i="1"/>
  <c r="P70" i="1"/>
  <c r="P74" i="1"/>
  <c r="P78" i="1"/>
  <c r="P82" i="1"/>
  <c r="P86" i="1"/>
  <c r="P90" i="1"/>
  <c r="P94" i="1"/>
  <c r="P98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150" i="1"/>
  <c r="P154" i="1"/>
  <c r="P158" i="1"/>
  <c r="P162" i="1"/>
  <c r="P166" i="1"/>
  <c r="P170" i="1"/>
  <c r="P174" i="1"/>
  <c r="P178" i="1"/>
  <c r="P182" i="1"/>
  <c r="P186" i="1"/>
  <c r="P190" i="1"/>
  <c r="P194" i="1"/>
  <c r="P198" i="1"/>
  <c r="P202" i="1"/>
  <c r="P206" i="1"/>
  <c r="P210" i="1"/>
  <c r="P214" i="1"/>
  <c r="P218" i="1"/>
  <c r="P222" i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51" i="1"/>
  <c r="P155" i="1"/>
  <c r="P159" i="1"/>
  <c r="P163" i="1"/>
  <c r="P167" i="1"/>
  <c r="P171" i="1"/>
  <c r="P175" i="1"/>
  <c r="P179" i="1"/>
  <c r="P183" i="1"/>
  <c r="P187" i="1"/>
  <c r="P191" i="1"/>
  <c r="P195" i="1"/>
  <c r="P199" i="1"/>
  <c r="P203" i="1"/>
  <c r="P207" i="1"/>
  <c r="P211" i="1"/>
  <c r="P215" i="1"/>
  <c r="P219" i="1"/>
  <c r="P223" i="1"/>
  <c r="P227" i="1"/>
  <c r="P231" i="1"/>
  <c r="P235" i="1"/>
  <c r="P239" i="1"/>
  <c r="P243" i="1"/>
  <c r="P247" i="1"/>
  <c r="P251" i="1"/>
  <c r="P255" i="1"/>
  <c r="P259" i="1"/>
  <c r="P263" i="1"/>
  <c r="P267" i="1"/>
  <c r="P271" i="1"/>
  <c r="P275" i="1"/>
  <c r="P279" i="1"/>
  <c r="P283" i="1"/>
  <c r="P287" i="1"/>
  <c r="P291" i="1"/>
  <c r="P295" i="1"/>
  <c r="P299" i="1"/>
  <c r="P303" i="1"/>
  <c r="P307" i="1"/>
  <c r="P311" i="1"/>
  <c r="P315" i="1"/>
  <c r="P319" i="1"/>
  <c r="P323" i="1"/>
  <c r="P327" i="1"/>
  <c r="P331" i="1"/>
  <c r="P335" i="1"/>
  <c r="P339" i="1"/>
  <c r="P343" i="1"/>
  <c r="P8" i="1"/>
  <c r="P24" i="1"/>
  <c r="P40" i="1"/>
  <c r="P56" i="1"/>
  <c r="P72" i="1"/>
  <c r="P88" i="1"/>
  <c r="P104" i="1"/>
  <c r="P120" i="1"/>
  <c r="P136" i="1"/>
  <c r="P152" i="1"/>
  <c r="P168" i="1"/>
  <c r="P184" i="1"/>
  <c r="P200" i="1"/>
  <c r="P216" i="1"/>
  <c r="P228" i="1"/>
  <c r="P236" i="1"/>
  <c r="P244" i="1"/>
  <c r="P252" i="1"/>
  <c r="P260" i="1"/>
  <c r="P268" i="1"/>
  <c r="P276" i="1"/>
  <c r="P284" i="1"/>
  <c r="P292" i="1"/>
  <c r="P300" i="1"/>
  <c r="P308" i="1"/>
  <c r="P316" i="1"/>
  <c r="P324" i="1"/>
  <c r="P332" i="1"/>
  <c r="P340" i="1"/>
  <c r="P346" i="1"/>
  <c r="P350" i="1"/>
  <c r="P354" i="1"/>
  <c r="P358" i="1"/>
  <c r="P362" i="1"/>
  <c r="P366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6" i="1"/>
  <c r="P430" i="1"/>
  <c r="P434" i="1"/>
  <c r="P438" i="1"/>
  <c r="P442" i="1"/>
  <c r="P446" i="1"/>
  <c r="P450" i="1"/>
  <c r="P454" i="1"/>
  <c r="P458" i="1"/>
  <c r="P462" i="1"/>
  <c r="P466" i="1"/>
  <c r="P470" i="1"/>
  <c r="P474" i="1"/>
  <c r="P478" i="1"/>
  <c r="P482" i="1"/>
  <c r="P486" i="1"/>
  <c r="P490" i="1"/>
  <c r="P494" i="1"/>
  <c r="P498" i="1"/>
  <c r="P502" i="1"/>
  <c r="P506" i="1"/>
  <c r="P510" i="1"/>
  <c r="P514" i="1"/>
  <c r="P518" i="1"/>
  <c r="P522" i="1"/>
  <c r="P526" i="1"/>
  <c r="P530" i="1"/>
  <c r="P534" i="1"/>
  <c r="P538" i="1"/>
  <c r="P542" i="1"/>
  <c r="P546" i="1"/>
  <c r="P550" i="1"/>
  <c r="P554" i="1"/>
  <c r="P558" i="1"/>
  <c r="P562" i="1"/>
  <c r="P566" i="1"/>
  <c r="P16" i="1"/>
  <c r="P32" i="1"/>
  <c r="P48" i="1"/>
  <c r="P64" i="1"/>
  <c r="P80" i="1"/>
  <c r="P96" i="1"/>
  <c r="P112" i="1"/>
  <c r="P128" i="1"/>
  <c r="P144" i="1"/>
  <c r="P160" i="1"/>
  <c r="P176" i="1"/>
  <c r="P192" i="1"/>
  <c r="P208" i="1"/>
  <c r="P224" i="1"/>
  <c r="P232" i="1"/>
  <c r="P240" i="1"/>
  <c r="P248" i="1"/>
  <c r="P256" i="1"/>
  <c r="P264" i="1"/>
  <c r="P272" i="1"/>
  <c r="P280" i="1"/>
  <c r="P288" i="1"/>
  <c r="P296" i="1"/>
  <c r="P304" i="1"/>
  <c r="P312" i="1"/>
  <c r="P320" i="1"/>
  <c r="P328" i="1"/>
  <c r="P336" i="1"/>
  <c r="P344" i="1"/>
  <c r="P348" i="1"/>
  <c r="P352" i="1"/>
  <c r="P356" i="1"/>
  <c r="P360" i="1"/>
  <c r="P364" i="1"/>
  <c r="P368" i="1"/>
  <c r="P372" i="1"/>
  <c r="P376" i="1"/>
  <c r="P380" i="1"/>
  <c r="P384" i="1"/>
  <c r="P388" i="1"/>
  <c r="P392" i="1"/>
  <c r="P396" i="1"/>
  <c r="P400" i="1"/>
  <c r="P404" i="1"/>
  <c r="P408" i="1"/>
  <c r="P412" i="1"/>
  <c r="P416" i="1"/>
  <c r="P420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72" i="1"/>
  <c r="P476" i="1"/>
  <c r="P480" i="1"/>
  <c r="P484" i="1"/>
  <c r="P488" i="1"/>
  <c r="P492" i="1"/>
  <c r="P496" i="1"/>
  <c r="P500" i="1"/>
  <c r="P504" i="1"/>
  <c r="P508" i="1"/>
  <c r="P512" i="1"/>
  <c r="P516" i="1"/>
  <c r="P520" i="1"/>
  <c r="P524" i="1"/>
  <c r="P528" i="1"/>
  <c r="P532" i="1"/>
  <c r="P536" i="1"/>
  <c r="P540" i="1"/>
  <c r="P544" i="1"/>
  <c r="P548" i="1"/>
  <c r="P552" i="1"/>
  <c r="P556" i="1"/>
  <c r="P560" i="1"/>
  <c r="P564" i="1"/>
  <c r="P568" i="1"/>
  <c r="P572" i="1"/>
  <c r="P576" i="1"/>
  <c r="P580" i="1"/>
  <c r="P584" i="1"/>
  <c r="P12" i="1"/>
  <c r="P44" i="1"/>
  <c r="P76" i="1"/>
  <c r="P108" i="1"/>
  <c r="P140" i="1"/>
  <c r="P172" i="1"/>
  <c r="P204" i="1"/>
  <c r="P230" i="1"/>
  <c r="P246" i="1"/>
  <c r="P262" i="1"/>
  <c r="P278" i="1"/>
  <c r="P294" i="1"/>
  <c r="P310" i="1"/>
  <c r="P326" i="1"/>
  <c r="P342" i="1"/>
  <c r="P351" i="1"/>
  <c r="P359" i="1"/>
  <c r="P367" i="1"/>
  <c r="P375" i="1"/>
  <c r="P383" i="1"/>
  <c r="P391" i="1"/>
  <c r="P399" i="1"/>
  <c r="P407" i="1"/>
  <c r="P415" i="1"/>
  <c r="P423" i="1"/>
  <c r="P431" i="1"/>
  <c r="P439" i="1"/>
  <c r="P447" i="1"/>
  <c r="P455" i="1"/>
  <c r="P463" i="1"/>
  <c r="P471" i="1"/>
  <c r="P479" i="1"/>
  <c r="P487" i="1"/>
  <c r="P495" i="1"/>
  <c r="P503" i="1"/>
  <c r="P511" i="1"/>
  <c r="P519" i="1"/>
  <c r="P527" i="1"/>
  <c r="P535" i="1"/>
  <c r="P543" i="1"/>
  <c r="P551" i="1"/>
  <c r="P559" i="1"/>
  <c r="P567" i="1"/>
  <c r="P573" i="1"/>
  <c r="P578" i="1"/>
  <c r="P583" i="1"/>
  <c r="P588" i="1"/>
  <c r="P592" i="1"/>
  <c r="P596" i="1"/>
  <c r="P600" i="1"/>
  <c r="P604" i="1"/>
  <c r="P608" i="1"/>
  <c r="P612" i="1"/>
  <c r="P616" i="1"/>
  <c r="P620" i="1"/>
  <c r="P624" i="1"/>
  <c r="P628" i="1"/>
  <c r="P632" i="1"/>
  <c r="P636" i="1"/>
  <c r="P640" i="1"/>
  <c r="P644" i="1"/>
  <c r="P648" i="1"/>
  <c r="P652" i="1"/>
  <c r="P656" i="1"/>
  <c r="P660" i="1"/>
  <c r="P664" i="1"/>
  <c r="P668" i="1"/>
  <c r="P672" i="1"/>
  <c r="P676" i="1"/>
  <c r="P680" i="1"/>
  <c r="P684" i="1"/>
  <c r="P688" i="1"/>
  <c r="P692" i="1"/>
  <c r="P696" i="1"/>
  <c r="P700" i="1"/>
  <c r="P704" i="1"/>
  <c r="P708" i="1"/>
  <c r="P712" i="1"/>
  <c r="P716" i="1"/>
  <c r="P720" i="1"/>
  <c r="P724" i="1"/>
  <c r="P728" i="1"/>
  <c r="P732" i="1"/>
  <c r="P736" i="1"/>
  <c r="P740" i="1"/>
  <c r="P744" i="1"/>
  <c r="P748" i="1"/>
  <c r="P752" i="1"/>
  <c r="P756" i="1"/>
  <c r="P760" i="1"/>
  <c r="P764" i="1"/>
  <c r="P768" i="1"/>
  <c r="P4" i="1"/>
  <c r="P28" i="1"/>
  <c r="P60" i="1"/>
  <c r="P92" i="1"/>
  <c r="P124" i="1"/>
  <c r="P156" i="1"/>
  <c r="P188" i="1"/>
  <c r="P220" i="1"/>
  <c r="P238" i="1"/>
  <c r="P254" i="1"/>
  <c r="P270" i="1"/>
  <c r="P286" i="1"/>
  <c r="P302" i="1"/>
  <c r="P318" i="1"/>
  <c r="P334" i="1"/>
  <c r="P347" i="1"/>
  <c r="P355" i="1"/>
  <c r="P363" i="1"/>
  <c r="P371" i="1"/>
  <c r="P379" i="1"/>
  <c r="P387" i="1"/>
  <c r="P395" i="1"/>
  <c r="P403" i="1"/>
  <c r="P411" i="1"/>
  <c r="P419" i="1"/>
  <c r="P427" i="1"/>
  <c r="P435" i="1"/>
  <c r="P443" i="1"/>
  <c r="P451" i="1"/>
  <c r="P459" i="1"/>
  <c r="P467" i="1"/>
  <c r="P475" i="1"/>
  <c r="P483" i="1"/>
  <c r="P491" i="1"/>
  <c r="P499" i="1"/>
  <c r="P507" i="1"/>
  <c r="P515" i="1"/>
  <c r="P523" i="1"/>
  <c r="P531" i="1"/>
  <c r="P539" i="1"/>
  <c r="P547" i="1"/>
  <c r="P555" i="1"/>
  <c r="P563" i="1"/>
  <c r="P570" i="1"/>
  <c r="P575" i="1"/>
  <c r="P581" i="1"/>
  <c r="P586" i="1"/>
  <c r="P590" i="1"/>
  <c r="P594" i="1"/>
  <c r="P598" i="1"/>
  <c r="P602" i="1"/>
  <c r="P606" i="1"/>
  <c r="P610" i="1"/>
  <c r="P614" i="1"/>
  <c r="P618" i="1"/>
  <c r="P622" i="1"/>
  <c r="P626" i="1"/>
  <c r="P630" i="1"/>
  <c r="P634" i="1"/>
  <c r="P638" i="1"/>
  <c r="P642" i="1"/>
  <c r="P646" i="1"/>
  <c r="P650" i="1"/>
  <c r="P654" i="1"/>
  <c r="P658" i="1"/>
  <c r="P662" i="1"/>
  <c r="P666" i="1"/>
  <c r="P670" i="1"/>
  <c r="P674" i="1"/>
  <c r="P678" i="1"/>
  <c r="P682" i="1"/>
  <c r="P686" i="1"/>
  <c r="P690" i="1"/>
  <c r="P694" i="1"/>
  <c r="P698" i="1"/>
  <c r="P702" i="1"/>
  <c r="P706" i="1"/>
  <c r="P710" i="1"/>
  <c r="P714" i="1"/>
  <c r="P718" i="1"/>
  <c r="P722" i="1"/>
  <c r="P726" i="1"/>
  <c r="P730" i="1"/>
  <c r="P734" i="1"/>
  <c r="P738" i="1"/>
  <c r="P742" i="1"/>
  <c r="P746" i="1"/>
  <c r="P750" i="1"/>
  <c r="P754" i="1"/>
  <c r="P758" i="1"/>
  <c r="P762" i="1"/>
  <c r="P766" i="1"/>
  <c r="P770" i="1"/>
  <c r="P20" i="1"/>
  <c r="P84" i="1"/>
  <c r="P148" i="1"/>
  <c r="P212" i="1"/>
  <c r="P250" i="1"/>
  <c r="P282" i="1"/>
  <c r="P314" i="1"/>
  <c r="P345" i="1"/>
  <c r="P361" i="1"/>
  <c r="P377" i="1"/>
  <c r="P393" i="1"/>
  <c r="P409" i="1"/>
  <c r="P425" i="1"/>
  <c r="P441" i="1"/>
  <c r="P457" i="1"/>
  <c r="P473" i="1"/>
  <c r="P489" i="1"/>
  <c r="P505" i="1"/>
  <c r="P521" i="1"/>
  <c r="P537" i="1"/>
  <c r="P553" i="1"/>
  <c r="P569" i="1"/>
  <c r="P579" i="1"/>
  <c r="P589" i="1"/>
  <c r="P597" i="1"/>
  <c r="P605" i="1"/>
  <c r="P613" i="1"/>
  <c r="P621" i="1"/>
  <c r="P629" i="1"/>
  <c r="P637" i="1"/>
  <c r="P645" i="1"/>
  <c r="P653" i="1"/>
  <c r="P661" i="1"/>
  <c r="P669" i="1"/>
  <c r="P677" i="1"/>
  <c r="P685" i="1"/>
  <c r="P693" i="1"/>
  <c r="P701" i="1"/>
  <c r="P709" i="1"/>
  <c r="P717" i="1"/>
  <c r="P725" i="1"/>
  <c r="P733" i="1"/>
  <c r="P741" i="1"/>
  <c r="P749" i="1"/>
  <c r="P757" i="1"/>
  <c r="P765" i="1"/>
  <c r="P2" i="1"/>
  <c r="P68" i="1"/>
  <c r="P132" i="1"/>
  <c r="P196" i="1"/>
  <c r="P242" i="1"/>
  <c r="P274" i="1"/>
  <c r="P306" i="1"/>
  <c r="P338" i="1"/>
  <c r="P357" i="1"/>
  <c r="P373" i="1"/>
  <c r="P389" i="1"/>
  <c r="P405" i="1"/>
  <c r="P421" i="1"/>
  <c r="P437" i="1"/>
  <c r="P453" i="1"/>
  <c r="P469" i="1"/>
  <c r="P485" i="1"/>
  <c r="P501" i="1"/>
  <c r="P517" i="1"/>
  <c r="P533" i="1"/>
  <c r="P549" i="1"/>
  <c r="P565" i="1"/>
  <c r="P577" i="1"/>
  <c r="P587" i="1"/>
  <c r="P595" i="1"/>
  <c r="P603" i="1"/>
  <c r="P611" i="1"/>
  <c r="P619" i="1"/>
  <c r="P627" i="1"/>
  <c r="P635" i="1"/>
  <c r="P643" i="1"/>
  <c r="P651" i="1"/>
  <c r="P659" i="1"/>
  <c r="P667" i="1"/>
  <c r="P675" i="1"/>
  <c r="P683" i="1"/>
  <c r="P691" i="1"/>
  <c r="P699" i="1"/>
  <c r="P707" i="1"/>
  <c r="P715" i="1"/>
  <c r="P723" i="1"/>
  <c r="P731" i="1"/>
  <c r="P739" i="1"/>
  <c r="P747" i="1"/>
  <c r="P755" i="1"/>
  <c r="P763" i="1"/>
  <c r="P3" i="1"/>
  <c r="P36" i="1"/>
  <c r="P164" i="1"/>
  <c r="P258" i="1"/>
  <c r="P322" i="1"/>
  <c r="P365" i="1"/>
  <c r="P397" i="1"/>
  <c r="P429" i="1"/>
  <c r="P461" i="1"/>
  <c r="P493" i="1"/>
  <c r="P525" i="1"/>
  <c r="P557" i="1"/>
  <c r="P582" i="1"/>
  <c r="P599" i="1"/>
  <c r="P615" i="1"/>
  <c r="P631" i="1"/>
  <c r="P647" i="1"/>
  <c r="P663" i="1"/>
  <c r="P679" i="1"/>
  <c r="P695" i="1"/>
  <c r="P711" i="1"/>
  <c r="P727" i="1"/>
  <c r="P743" i="1"/>
  <c r="P759" i="1"/>
  <c r="P52" i="1"/>
  <c r="P180" i="1"/>
  <c r="P266" i="1"/>
  <c r="P330" i="1"/>
  <c r="P369" i="1"/>
  <c r="P401" i="1"/>
  <c r="P433" i="1"/>
  <c r="P465" i="1"/>
  <c r="P497" i="1"/>
  <c r="P529" i="1"/>
  <c r="P100" i="1"/>
  <c r="P226" i="1"/>
  <c r="P290" i="1"/>
  <c r="P349" i="1"/>
  <c r="P381" i="1"/>
  <c r="P413" i="1"/>
  <c r="P445" i="1"/>
  <c r="P477" i="1"/>
  <c r="P509" i="1"/>
  <c r="P541" i="1"/>
  <c r="P571" i="1"/>
  <c r="P591" i="1"/>
  <c r="P607" i="1"/>
  <c r="P623" i="1"/>
  <c r="P639" i="1"/>
  <c r="P655" i="1"/>
  <c r="P671" i="1"/>
  <c r="P687" i="1"/>
  <c r="P703" i="1"/>
  <c r="P719" i="1"/>
  <c r="P735" i="1"/>
  <c r="P751" i="1"/>
  <c r="P767" i="1"/>
  <c r="P116" i="1"/>
  <c r="P234" i="1"/>
  <c r="P298" i="1"/>
  <c r="P449" i="1"/>
  <c r="P561" i="1"/>
  <c r="P601" i="1"/>
  <c r="P633" i="1"/>
  <c r="P665" i="1"/>
  <c r="P697" i="1"/>
  <c r="P729" i="1"/>
  <c r="P761" i="1"/>
  <c r="P353" i="1"/>
  <c r="P481" i="1"/>
  <c r="P574" i="1"/>
  <c r="P609" i="1"/>
  <c r="P641" i="1"/>
  <c r="P673" i="1"/>
  <c r="P705" i="1"/>
  <c r="P737" i="1"/>
  <c r="P769" i="1"/>
  <c r="P385" i="1"/>
  <c r="P513" i="1"/>
  <c r="P585" i="1"/>
  <c r="P617" i="1"/>
  <c r="P649" i="1"/>
  <c r="P681" i="1"/>
  <c r="P713" i="1"/>
  <c r="P745" i="1"/>
  <c r="P417" i="1"/>
  <c r="P545" i="1"/>
  <c r="P593" i="1"/>
  <c r="P625" i="1"/>
  <c r="P657" i="1"/>
  <c r="P689" i="1"/>
  <c r="P721" i="1"/>
  <c r="P753" i="1"/>
</calcChain>
</file>

<file path=xl/sharedStrings.xml><?xml version="1.0" encoding="utf-8"?>
<sst xmlns="http://schemas.openxmlformats.org/spreadsheetml/2006/main" count="109" uniqueCount="53">
  <si>
    <t>Patient</t>
  </si>
  <si>
    <t>No.times pregnant</t>
  </si>
  <si>
    <t>Plasma glucose concentration</t>
  </si>
  <si>
    <t>Diastolic blood pressure</t>
  </si>
  <si>
    <t>Tricepts skin fold thickness</t>
  </si>
  <si>
    <t>2-hr serum insulin</t>
  </si>
  <si>
    <t>Body mass index</t>
  </si>
  <si>
    <t>Diabetes pedigree function</t>
  </si>
  <si>
    <t>Age</t>
  </si>
  <si>
    <t>Class (1=positive for diabetes, 0 = negative)</t>
  </si>
  <si>
    <t>Mean</t>
  </si>
  <si>
    <t>Median</t>
  </si>
  <si>
    <t>D386</t>
  </si>
  <si>
    <t>I386</t>
  </si>
  <si>
    <t>Repeated DBP</t>
  </si>
  <si>
    <t>Repeated Age</t>
  </si>
  <si>
    <t>Mode</t>
  </si>
  <si>
    <t>Count</t>
  </si>
  <si>
    <t xml:space="preserve"> DBP Veriance</t>
  </si>
  <si>
    <t>Age Veriance</t>
  </si>
  <si>
    <t>Items No.</t>
  </si>
  <si>
    <t>Item No.</t>
  </si>
  <si>
    <t>Sample Variance</t>
  </si>
  <si>
    <t>Ordered PBD</t>
  </si>
  <si>
    <t>Ordered Age</t>
  </si>
  <si>
    <t>STD Deviation</t>
  </si>
  <si>
    <t>MEDIAN</t>
  </si>
  <si>
    <t>QUARTILE</t>
  </si>
  <si>
    <t>3rd QUARTILE</t>
  </si>
  <si>
    <t>1st  QUARTILE</t>
  </si>
  <si>
    <t>INTER-QUARTILE</t>
  </si>
  <si>
    <t>Bin</t>
  </si>
  <si>
    <t>More</t>
  </si>
  <si>
    <t>Frequency</t>
  </si>
  <si>
    <t>Cumulative %</t>
  </si>
  <si>
    <t>Z-scores</t>
  </si>
  <si>
    <t>STD Deviation Sample</t>
  </si>
  <si>
    <t>Confidence Level</t>
  </si>
  <si>
    <t>Standard Error</t>
  </si>
  <si>
    <t>Standard Deviation</t>
  </si>
  <si>
    <t>Kurtosis</t>
  </si>
  <si>
    <t>Skewness</t>
  </si>
  <si>
    <t>Range</t>
  </si>
  <si>
    <t>Minimum</t>
  </si>
  <si>
    <t>Maximum</t>
  </si>
  <si>
    <t>Sum</t>
  </si>
  <si>
    <t>Margial Error</t>
  </si>
  <si>
    <t>Upper Bound</t>
  </si>
  <si>
    <t>Lower Bound</t>
  </si>
  <si>
    <t>MAX</t>
  </si>
  <si>
    <t>MIN</t>
  </si>
  <si>
    <t>RANGE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</si>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</sst>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rgb="FF333333"/>
      <name val="Verdana"/>
      <family val="2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b/>
      <sz val="12"/>
      <color theme="1"/>
      <name val="Times New Roman"/>
      <family val="1"/>
    </font>
    <font>
      <sz val="11"/>
      <color rgb="FF444444"/>
      <name val="Segoe UI"/>
      <family val="2"/>
    </font>
    <font>
      <b/>
      <sz val="9"/>
      <color rgb="FF333333"/>
      <name val="Verdana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textRotation="90" wrapText="1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quotePrefix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10" fontId="0" fillId="0" borderId="0" xfId="0" applyNumberFormat="1" applyFill="1" applyBorder="1" applyAlignment="1"/>
    <xf numFmtId="10" fontId="0" fillId="0" borderId="1" xfId="0" applyNumberFormat="1" applyFill="1" applyBorder="1" applyAlignment="1"/>
    <xf numFmtId="0" fontId="0" fillId="0" borderId="1" xfId="0" applyNumberFormat="1" applyFill="1" applyBorder="1" applyAlignment="1"/>
    <xf numFmtId="0" fontId="7" fillId="0" borderId="2" xfId="0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0" borderId="0" xfId="0" quotePrefix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DBP</a:t>
            </a:r>
            <a:r>
              <a:rPr lang="en-US" baseline="0"/>
              <a:t> </a:t>
            </a: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Sheet8!$D$2:$D$29</c:f>
              <c:strCache>
                <c:ptCount val="28"/>
                <c:pt idx="0">
                  <c:v>72.2962963</c:v>
                </c:pt>
                <c:pt idx="1">
                  <c:v>76.81481481</c:v>
                </c:pt>
                <c:pt idx="2">
                  <c:v>81.33333333</c:v>
                </c:pt>
                <c:pt idx="3">
                  <c:v>67.77777778</c:v>
                </c:pt>
                <c:pt idx="4">
                  <c:v>63.25925926</c:v>
                </c:pt>
                <c:pt idx="5">
                  <c:v>90.37037037</c:v>
                </c:pt>
                <c:pt idx="6">
                  <c:v>85.85185185</c:v>
                </c:pt>
                <c:pt idx="7">
                  <c:v>0</c:v>
                </c:pt>
                <c:pt idx="8">
                  <c:v>54.22222222</c:v>
                </c:pt>
                <c:pt idx="9">
                  <c:v>58.74074074</c:v>
                </c:pt>
                <c:pt idx="10">
                  <c:v>94.88888889</c:v>
                </c:pt>
                <c:pt idx="11">
                  <c:v>99.40740741</c:v>
                </c:pt>
                <c:pt idx="12">
                  <c:v>49.7037037</c:v>
                </c:pt>
                <c:pt idx="13">
                  <c:v>108.4444444</c:v>
                </c:pt>
                <c:pt idx="14">
                  <c:v>45.18518519</c:v>
                </c:pt>
                <c:pt idx="15">
                  <c:v>103.9259259</c:v>
                </c:pt>
                <c:pt idx="16">
                  <c:v>112.962963</c:v>
                </c:pt>
                <c:pt idx="17">
                  <c:v>31.62962963</c:v>
                </c:pt>
                <c:pt idx="18">
                  <c:v>40.66666667</c:v>
                </c:pt>
                <c:pt idx="19">
                  <c:v>27.11111111</c:v>
                </c:pt>
                <c:pt idx="20">
                  <c:v>117.4814815</c:v>
                </c:pt>
                <c:pt idx="21">
                  <c:v>More</c:v>
                </c:pt>
                <c:pt idx="22">
                  <c:v>4.518518519</c:v>
                </c:pt>
                <c:pt idx="23">
                  <c:v>9.037037037</c:v>
                </c:pt>
                <c:pt idx="24">
                  <c:v>13.55555556</c:v>
                </c:pt>
                <c:pt idx="25">
                  <c:v>18.07407407</c:v>
                </c:pt>
                <c:pt idx="26">
                  <c:v>22.59259259</c:v>
                </c:pt>
                <c:pt idx="27">
                  <c:v>36.14814815</c:v>
                </c:pt>
              </c:strCache>
            </c:strRef>
          </c:cat>
          <c:val>
            <c:numRef>
              <c:f>Sheet8!$E$2:$E$29</c:f>
              <c:numCache>
                <c:formatCode>General</c:formatCode>
                <c:ptCount val="28"/>
                <c:pt idx="0">
                  <c:v>145</c:v>
                </c:pt>
                <c:pt idx="1">
                  <c:v>99</c:v>
                </c:pt>
                <c:pt idx="2">
                  <c:v>85</c:v>
                </c:pt>
                <c:pt idx="3">
                  <c:v>80</c:v>
                </c:pt>
                <c:pt idx="4">
                  <c:v>72</c:v>
                </c:pt>
                <c:pt idx="5">
                  <c:v>68</c:v>
                </c:pt>
                <c:pt idx="6">
                  <c:v>59</c:v>
                </c:pt>
                <c:pt idx="7">
                  <c:v>36</c:v>
                </c:pt>
                <c:pt idx="8">
                  <c:v>35</c:v>
                </c:pt>
                <c:pt idx="9">
                  <c:v>35</c:v>
                </c:pt>
                <c:pt idx="10">
                  <c:v>14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090592"/>
        <c:axId val="24908706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Sheet8!$D$2:$D$29</c:f>
              <c:strCache>
                <c:ptCount val="28"/>
                <c:pt idx="0">
                  <c:v>72.2962963</c:v>
                </c:pt>
                <c:pt idx="1">
                  <c:v>76.81481481</c:v>
                </c:pt>
                <c:pt idx="2">
                  <c:v>81.33333333</c:v>
                </c:pt>
                <c:pt idx="3">
                  <c:v>67.77777778</c:v>
                </c:pt>
                <c:pt idx="4">
                  <c:v>63.25925926</c:v>
                </c:pt>
                <c:pt idx="5">
                  <c:v>90.37037037</c:v>
                </c:pt>
                <c:pt idx="6">
                  <c:v>85.85185185</c:v>
                </c:pt>
                <c:pt idx="7">
                  <c:v>0</c:v>
                </c:pt>
                <c:pt idx="8">
                  <c:v>54.22222222</c:v>
                </c:pt>
                <c:pt idx="9">
                  <c:v>58.74074074</c:v>
                </c:pt>
                <c:pt idx="10">
                  <c:v>94.88888889</c:v>
                </c:pt>
                <c:pt idx="11">
                  <c:v>99.40740741</c:v>
                </c:pt>
                <c:pt idx="12">
                  <c:v>49.7037037</c:v>
                </c:pt>
                <c:pt idx="13">
                  <c:v>108.4444444</c:v>
                </c:pt>
                <c:pt idx="14">
                  <c:v>45.18518519</c:v>
                </c:pt>
                <c:pt idx="15">
                  <c:v>103.9259259</c:v>
                </c:pt>
                <c:pt idx="16">
                  <c:v>112.962963</c:v>
                </c:pt>
                <c:pt idx="17">
                  <c:v>31.62962963</c:v>
                </c:pt>
                <c:pt idx="18">
                  <c:v>40.66666667</c:v>
                </c:pt>
                <c:pt idx="19">
                  <c:v>27.11111111</c:v>
                </c:pt>
                <c:pt idx="20">
                  <c:v>117.4814815</c:v>
                </c:pt>
                <c:pt idx="21">
                  <c:v>More</c:v>
                </c:pt>
                <c:pt idx="22">
                  <c:v>4.518518519</c:v>
                </c:pt>
                <c:pt idx="23">
                  <c:v>9.037037037</c:v>
                </c:pt>
                <c:pt idx="24">
                  <c:v>13.55555556</c:v>
                </c:pt>
                <c:pt idx="25">
                  <c:v>18.07407407</c:v>
                </c:pt>
                <c:pt idx="26">
                  <c:v>22.59259259</c:v>
                </c:pt>
                <c:pt idx="27">
                  <c:v>36.14814815</c:v>
                </c:pt>
              </c:strCache>
            </c:strRef>
          </c:cat>
          <c:val>
            <c:numRef>
              <c:f>Sheet8!$F$2:$F$29</c:f>
              <c:numCache>
                <c:formatCode>0.00%</c:formatCode>
                <c:ptCount val="28"/>
                <c:pt idx="0">
                  <c:v>0.18880208333333334</c:v>
                </c:pt>
                <c:pt idx="1">
                  <c:v>0.31770833333333331</c:v>
                </c:pt>
                <c:pt idx="2">
                  <c:v>0.42838541666666669</c:v>
                </c:pt>
                <c:pt idx="3">
                  <c:v>0.53255208333333337</c:v>
                </c:pt>
                <c:pt idx="4">
                  <c:v>0.62630208333333337</c:v>
                </c:pt>
                <c:pt idx="5">
                  <c:v>0.71484375</c:v>
                </c:pt>
                <c:pt idx="6">
                  <c:v>0.79166666666666663</c:v>
                </c:pt>
                <c:pt idx="7">
                  <c:v>0.83854166666666663</c:v>
                </c:pt>
                <c:pt idx="8">
                  <c:v>0.88411458333333337</c:v>
                </c:pt>
                <c:pt idx="9">
                  <c:v>0.9296875</c:v>
                </c:pt>
                <c:pt idx="10">
                  <c:v>0.94791666666666663</c:v>
                </c:pt>
                <c:pt idx="11">
                  <c:v>0.95833333333333337</c:v>
                </c:pt>
                <c:pt idx="12">
                  <c:v>0.96744791666666663</c:v>
                </c:pt>
                <c:pt idx="13">
                  <c:v>0.9765625</c:v>
                </c:pt>
                <c:pt idx="14">
                  <c:v>0.98177083333333337</c:v>
                </c:pt>
                <c:pt idx="15">
                  <c:v>0.98697916666666663</c:v>
                </c:pt>
                <c:pt idx="16">
                  <c:v>0.99088541666666663</c:v>
                </c:pt>
                <c:pt idx="17">
                  <c:v>0.99348958333333337</c:v>
                </c:pt>
                <c:pt idx="18">
                  <c:v>0.99609375</c:v>
                </c:pt>
                <c:pt idx="19">
                  <c:v>0.99739583333333337</c:v>
                </c:pt>
                <c:pt idx="20">
                  <c:v>0.99869791666666663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087456"/>
        <c:axId val="249085888"/>
      </c:lineChart>
      <c:catAx>
        <c:axId val="24909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087064"/>
        <c:crosses val="autoZero"/>
        <c:auto val="1"/>
        <c:lblAlgn val="ctr"/>
        <c:lblOffset val="100"/>
        <c:noMultiLvlLbl val="0"/>
      </c:catAx>
      <c:valAx>
        <c:axId val="249087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090592"/>
        <c:crosses val="autoZero"/>
        <c:crossBetween val="between"/>
      </c:valAx>
      <c:valAx>
        <c:axId val="24908588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49087456"/>
        <c:crosses val="max"/>
        <c:crossBetween val="between"/>
      </c:valAx>
      <c:catAx>
        <c:axId val="24908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908588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</a:t>
            </a:r>
            <a:r>
              <a:rPr lang="en-US" baseline="0"/>
              <a:t> </a:t>
            </a: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Sheet9!$D$2:$D$29</c:f>
              <c:strCache>
                <c:ptCount val="28"/>
                <c:pt idx="0">
                  <c:v>23.22222222</c:v>
                </c:pt>
                <c:pt idx="1">
                  <c:v>25.44444444</c:v>
                </c:pt>
                <c:pt idx="2">
                  <c:v>27.66666667</c:v>
                </c:pt>
                <c:pt idx="3">
                  <c:v>21</c:v>
                </c:pt>
                <c:pt idx="4">
                  <c:v>29.88888889</c:v>
                </c:pt>
                <c:pt idx="5">
                  <c:v>32.11111111</c:v>
                </c:pt>
                <c:pt idx="6">
                  <c:v>41</c:v>
                </c:pt>
                <c:pt idx="7">
                  <c:v>38.77777778</c:v>
                </c:pt>
                <c:pt idx="8">
                  <c:v>34.33333333</c:v>
                </c:pt>
                <c:pt idx="9">
                  <c:v>43.22222222</c:v>
                </c:pt>
                <c:pt idx="10">
                  <c:v>36.55555556</c:v>
                </c:pt>
                <c:pt idx="11">
                  <c:v>45.44444444</c:v>
                </c:pt>
                <c:pt idx="12">
                  <c:v>52.11111111</c:v>
                </c:pt>
                <c:pt idx="13">
                  <c:v>47.66666667</c:v>
                </c:pt>
                <c:pt idx="14">
                  <c:v>58.77777778</c:v>
                </c:pt>
                <c:pt idx="15">
                  <c:v>54.33333333</c:v>
                </c:pt>
                <c:pt idx="16">
                  <c:v>49.88888889</c:v>
                </c:pt>
                <c:pt idx="17">
                  <c:v>61</c:v>
                </c:pt>
                <c:pt idx="18">
                  <c:v>63.22222222</c:v>
                </c:pt>
                <c:pt idx="19">
                  <c:v>56.55555556</c:v>
                </c:pt>
                <c:pt idx="20">
                  <c:v>67.66666667</c:v>
                </c:pt>
                <c:pt idx="21">
                  <c:v>65.44444444</c:v>
                </c:pt>
                <c:pt idx="22">
                  <c:v>69.88888889</c:v>
                </c:pt>
                <c:pt idx="23">
                  <c:v>72.11111111</c:v>
                </c:pt>
                <c:pt idx="24">
                  <c:v>More</c:v>
                </c:pt>
                <c:pt idx="25">
                  <c:v>74.33333333</c:v>
                </c:pt>
                <c:pt idx="26">
                  <c:v>76.55555556</c:v>
                </c:pt>
                <c:pt idx="27">
                  <c:v>78.77777778</c:v>
                </c:pt>
              </c:strCache>
            </c:strRef>
          </c:cat>
          <c:val>
            <c:numRef>
              <c:f>Sheet9!$E$2:$E$29</c:f>
              <c:numCache>
                <c:formatCode>General</c:formatCode>
                <c:ptCount val="28"/>
                <c:pt idx="0">
                  <c:v>110</c:v>
                </c:pt>
                <c:pt idx="1">
                  <c:v>94</c:v>
                </c:pt>
                <c:pt idx="2">
                  <c:v>65</c:v>
                </c:pt>
                <c:pt idx="3">
                  <c:v>64</c:v>
                </c:pt>
                <c:pt idx="4">
                  <c:v>64</c:v>
                </c:pt>
                <c:pt idx="5">
                  <c:v>61</c:v>
                </c:pt>
                <c:pt idx="6">
                  <c:v>47</c:v>
                </c:pt>
                <c:pt idx="7">
                  <c:v>35</c:v>
                </c:pt>
                <c:pt idx="8">
                  <c:v>31</c:v>
                </c:pt>
                <c:pt idx="9">
                  <c:v>31</c:v>
                </c:pt>
                <c:pt idx="10">
                  <c:v>26</c:v>
                </c:pt>
                <c:pt idx="11">
                  <c:v>23</c:v>
                </c:pt>
                <c:pt idx="12">
                  <c:v>23</c:v>
                </c:pt>
                <c:pt idx="13">
                  <c:v>19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091376"/>
        <c:axId val="25098754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Sheet9!$D$2:$D$29</c:f>
              <c:strCache>
                <c:ptCount val="28"/>
                <c:pt idx="0">
                  <c:v>23.22222222</c:v>
                </c:pt>
                <c:pt idx="1">
                  <c:v>25.44444444</c:v>
                </c:pt>
                <c:pt idx="2">
                  <c:v>27.66666667</c:v>
                </c:pt>
                <c:pt idx="3">
                  <c:v>21</c:v>
                </c:pt>
                <c:pt idx="4">
                  <c:v>29.88888889</c:v>
                </c:pt>
                <c:pt idx="5">
                  <c:v>32.11111111</c:v>
                </c:pt>
                <c:pt idx="6">
                  <c:v>41</c:v>
                </c:pt>
                <c:pt idx="7">
                  <c:v>38.77777778</c:v>
                </c:pt>
                <c:pt idx="8">
                  <c:v>34.33333333</c:v>
                </c:pt>
                <c:pt idx="9">
                  <c:v>43.22222222</c:v>
                </c:pt>
                <c:pt idx="10">
                  <c:v>36.55555556</c:v>
                </c:pt>
                <c:pt idx="11">
                  <c:v>45.44444444</c:v>
                </c:pt>
                <c:pt idx="12">
                  <c:v>52.11111111</c:v>
                </c:pt>
                <c:pt idx="13">
                  <c:v>47.66666667</c:v>
                </c:pt>
                <c:pt idx="14">
                  <c:v>58.77777778</c:v>
                </c:pt>
                <c:pt idx="15">
                  <c:v>54.33333333</c:v>
                </c:pt>
                <c:pt idx="16">
                  <c:v>49.88888889</c:v>
                </c:pt>
                <c:pt idx="17">
                  <c:v>61</c:v>
                </c:pt>
                <c:pt idx="18">
                  <c:v>63.22222222</c:v>
                </c:pt>
                <c:pt idx="19">
                  <c:v>56.55555556</c:v>
                </c:pt>
                <c:pt idx="20">
                  <c:v>67.66666667</c:v>
                </c:pt>
                <c:pt idx="21">
                  <c:v>65.44444444</c:v>
                </c:pt>
                <c:pt idx="22">
                  <c:v>69.88888889</c:v>
                </c:pt>
                <c:pt idx="23">
                  <c:v>72.11111111</c:v>
                </c:pt>
                <c:pt idx="24">
                  <c:v>More</c:v>
                </c:pt>
                <c:pt idx="25">
                  <c:v>74.33333333</c:v>
                </c:pt>
                <c:pt idx="26">
                  <c:v>76.55555556</c:v>
                </c:pt>
                <c:pt idx="27">
                  <c:v>78.77777778</c:v>
                </c:pt>
              </c:strCache>
            </c:strRef>
          </c:cat>
          <c:val>
            <c:numRef>
              <c:f>Sheet9!$F$2:$F$29</c:f>
              <c:numCache>
                <c:formatCode>0.00%</c:formatCode>
                <c:ptCount val="28"/>
                <c:pt idx="0">
                  <c:v>0.14322916666666666</c:v>
                </c:pt>
                <c:pt idx="1">
                  <c:v>0.265625</c:v>
                </c:pt>
                <c:pt idx="2">
                  <c:v>0.35026041666666669</c:v>
                </c:pt>
                <c:pt idx="3">
                  <c:v>0.43359375</c:v>
                </c:pt>
                <c:pt idx="4">
                  <c:v>0.51692708333333337</c:v>
                </c:pt>
                <c:pt idx="5">
                  <c:v>0.59635416666666663</c:v>
                </c:pt>
                <c:pt idx="6">
                  <c:v>0.65755208333333337</c:v>
                </c:pt>
                <c:pt idx="7">
                  <c:v>0.703125</c:v>
                </c:pt>
                <c:pt idx="8">
                  <c:v>0.74348958333333337</c:v>
                </c:pt>
                <c:pt idx="9">
                  <c:v>0.78385416666666663</c:v>
                </c:pt>
                <c:pt idx="10">
                  <c:v>0.81770833333333337</c:v>
                </c:pt>
                <c:pt idx="11">
                  <c:v>0.84765625</c:v>
                </c:pt>
                <c:pt idx="12">
                  <c:v>0.87760416666666663</c:v>
                </c:pt>
                <c:pt idx="13">
                  <c:v>0.90234375</c:v>
                </c:pt>
                <c:pt idx="14">
                  <c:v>0.91796875</c:v>
                </c:pt>
                <c:pt idx="15">
                  <c:v>0.93229166666666663</c:v>
                </c:pt>
                <c:pt idx="16">
                  <c:v>0.9453125</c:v>
                </c:pt>
                <c:pt idx="17">
                  <c:v>0.95833333333333337</c:v>
                </c:pt>
                <c:pt idx="18">
                  <c:v>0.96875</c:v>
                </c:pt>
                <c:pt idx="19">
                  <c:v>0.97786458333333337</c:v>
                </c:pt>
                <c:pt idx="20">
                  <c:v>0.98697916666666663</c:v>
                </c:pt>
                <c:pt idx="21">
                  <c:v>0.9921875</c:v>
                </c:pt>
                <c:pt idx="22">
                  <c:v>0.99609375</c:v>
                </c:pt>
                <c:pt idx="23">
                  <c:v>0.99869791666666663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990288"/>
        <c:axId val="250988328"/>
      </c:lineChart>
      <c:catAx>
        <c:axId val="24909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0987544"/>
        <c:crosses val="autoZero"/>
        <c:auto val="1"/>
        <c:lblAlgn val="ctr"/>
        <c:lblOffset val="100"/>
        <c:noMultiLvlLbl val="0"/>
      </c:catAx>
      <c:valAx>
        <c:axId val="250987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091376"/>
        <c:crosses val="autoZero"/>
        <c:crossBetween val="between"/>
      </c:valAx>
      <c:valAx>
        <c:axId val="2509883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50990288"/>
        <c:crosses val="max"/>
        <c:crossBetween val="between"/>
      </c:valAx>
      <c:catAx>
        <c:axId val="250990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09883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180974</xdr:rowOff>
    </xdr:from>
    <xdr:to>
      <xdr:col>19</xdr:col>
      <xdr:colOff>19049</xdr:colOff>
      <xdr:row>28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1</xdr:row>
      <xdr:rowOff>0</xdr:rowOff>
    </xdr:from>
    <xdr:to>
      <xdr:col>17</xdr:col>
      <xdr:colOff>609599</xdr:colOff>
      <xdr:row>28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N16" sqref="N16"/>
    </sheetView>
  </sheetViews>
  <sheetFormatPr defaultRowHeight="15" x14ac:dyDescent="0.25"/>
  <sheetData>
    <row r="1" spans="1:6" x14ac:dyDescent="0.25">
      <c r="A1" s="15" t="s">
        <v>31</v>
      </c>
      <c r="B1" s="15" t="s">
        <v>33</v>
      </c>
      <c r="C1" s="15" t="s">
        <v>34</v>
      </c>
      <c r="D1" s="15" t="s">
        <v>31</v>
      </c>
      <c r="E1" s="15" t="s">
        <v>33</v>
      </c>
      <c r="F1" s="15" t="s">
        <v>34</v>
      </c>
    </row>
    <row r="2" spans="1:6" x14ac:dyDescent="0.25">
      <c r="A2" s="13">
        <v>0</v>
      </c>
      <c r="B2" s="13">
        <v>36</v>
      </c>
      <c r="C2" s="17">
        <v>4.6875E-2</v>
      </c>
      <c r="D2" s="16">
        <v>72.296296296296291</v>
      </c>
      <c r="E2" s="13">
        <v>145</v>
      </c>
      <c r="F2" s="17">
        <v>0.18880208333333334</v>
      </c>
    </row>
    <row r="3" spans="1:6" x14ac:dyDescent="0.25">
      <c r="A3" s="13">
        <v>4.5185185185185182</v>
      </c>
      <c r="B3" s="13">
        <v>0</v>
      </c>
      <c r="C3" s="17">
        <v>4.6875E-2</v>
      </c>
      <c r="D3" s="16">
        <v>76.81481481481481</v>
      </c>
      <c r="E3" s="13">
        <v>99</v>
      </c>
      <c r="F3" s="17">
        <v>0.31770833333333331</v>
      </c>
    </row>
    <row r="4" spans="1:6" x14ac:dyDescent="0.25">
      <c r="A4" s="13">
        <v>9.0370370370370363</v>
      </c>
      <c r="B4" s="13">
        <v>0</v>
      </c>
      <c r="C4" s="17">
        <v>4.6875E-2</v>
      </c>
      <c r="D4" s="16">
        <v>81.333333333333329</v>
      </c>
      <c r="E4" s="13">
        <v>85</v>
      </c>
      <c r="F4" s="17">
        <v>0.42838541666666669</v>
      </c>
    </row>
    <row r="5" spans="1:6" x14ac:dyDescent="0.25">
      <c r="A5" s="13">
        <v>13.555555555555554</v>
      </c>
      <c r="B5" s="13">
        <v>0</v>
      </c>
      <c r="C5" s="17">
        <v>4.6875E-2</v>
      </c>
      <c r="D5" s="16">
        <v>67.777777777777771</v>
      </c>
      <c r="E5" s="13">
        <v>80</v>
      </c>
      <c r="F5" s="17">
        <v>0.53255208333333337</v>
      </c>
    </row>
    <row r="6" spans="1:6" x14ac:dyDescent="0.25">
      <c r="A6" s="13">
        <v>18.074074074074073</v>
      </c>
      <c r="B6" s="13">
        <v>0</v>
      </c>
      <c r="C6" s="17">
        <v>4.6875E-2</v>
      </c>
      <c r="D6" s="16">
        <v>63.259259259259252</v>
      </c>
      <c r="E6" s="13">
        <v>72</v>
      </c>
      <c r="F6" s="17">
        <v>0.62630208333333337</v>
      </c>
    </row>
    <row r="7" spans="1:6" x14ac:dyDescent="0.25">
      <c r="A7" s="13">
        <v>22.592592592592592</v>
      </c>
      <c r="B7" s="13">
        <v>0</v>
      </c>
      <c r="C7" s="17">
        <v>4.6875E-2</v>
      </c>
      <c r="D7" s="16">
        <v>90.370370370370367</v>
      </c>
      <c r="E7" s="13">
        <v>68</v>
      </c>
      <c r="F7" s="17">
        <v>0.71484375</v>
      </c>
    </row>
    <row r="8" spans="1:6" x14ac:dyDescent="0.25">
      <c r="A8" s="13">
        <v>27.111111111111107</v>
      </c>
      <c r="B8" s="13">
        <v>1</v>
      </c>
      <c r="C8" s="17">
        <v>4.8177083333333336E-2</v>
      </c>
      <c r="D8" s="16">
        <v>85.851851851851848</v>
      </c>
      <c r="E8" s="13">
        <v>59</v>
      </c>
      <c r="F8" s="17">
        <v>0.79166666666666663</v>
      </c>
    </row>
    <row r="9" spans="1:6" x14ac:dyDescent="0.25">
      <c r="A9" s="13">
        <v>31.629629629629626</v>
      </c>
      <c r="B9" s="13">
        <v>2</v>
      </c>
      <c r="C9" s="17">
        <v>5.078125E-2</v>
      </c>
      <c r="D9" s="16">
        <v>0</v>
      </c>
      <c r="E9" s="13">
        <v>36</v>
      </c>
      <c r="F9" s="17">
        <v>0.83854166666666663</v>
      </c>
    </row>
    <row r="10" spans="1:6" x14ac:dyDescent="0.25">
      <c r="A10" s="13">
        <v>36.148148148148145</v>
      </c>
      <c r="B10" s="13">
        <v>0</v>
      </c>
      <c r="C10" s="17">
        <v>5.078125E-2</v>
      </c>
      <c r="D10" s="16">
        <v>54.222222222222214</v>
      </c>
      <c r="E10" s="13">
        <v>35</v>
      </c>
      <c r="F10" s="17">
        <v>0.88411458333333337</v>
      </c>
    </row>
    <row r="11" spans="1:6" x14ac:dyDescent="0.25">
      <c r="A11" s="13">
        <v>40.666666666666664</v>
      </c>
      <c r="B11" s="13">
        <v>2</v>
      </c>
      <c r="C11" s="17">
        <v>5.3385416666666664E-2</v>
      </c>
      <c r="D11" s="16">
        <v>58.740740740740733</v>
      </c>
      <c r="E11" s="13">
        <v>35</v>
      </c>
      <c r="F11" s="17">
        <v>0.9296875</v>
      </c>
    </row>
    <row r="12" spans="1:6" x14ac:dyDescent="0.25">
      <c r="A12" s="13">
        <v>45.185185185185183</v>
      </c>
      <c r="B12" s="13">
        <v>4</v>
      </c>
      <c r="C12" s="17">
        <v>5.859375E-2</v>
      </c>
      <c r="D12" s="16">
        <v>94.888888888888886</v>
      </c>
      <c r="E12" s="13">
        <v>14</v>
      </c>
      <c r="F12" s="17">
        <v>0.94791666666666663</v>
      </c>
    </row>
    <row r="13" spans="1:6" x14ac:dyDescent="0.25">
      <c r="A13" s="13">
        <v>49.703703703703702</v>
      </c>
      <c r="B13" s="13">
        <v>7</v>
      </c>
      <c r="C13" s="17">
        <v>6.7708333333333329E-2</v>
      </c>
      <c r="D13" s="16">
        <v>99.407407407407405</v>
      </c>
      <c r="E13" s="13">
        <v>8</v>
      </c>
      <c r="F13" s="17">
        <v>0.95833333333333337</v>
      </c>
    </row>
    <row r="14" spans="1:6" x14ac:dyDescent="0.25">
      <c r="A14" s="13">
        <v>54.222222222222214</v>
      </c>
      <c r="B14" s="13">
        <v>35</v>
      </c>
      <c r="C14" s="17">
        <v>0.11328125</v>
      </c>
      <c r="D14" s="16">
        <v>49.703703703703702</v>
      </c>
      <c r="E14" s="13">
        <v>7</v>
      </c>
      <c r="F14" s="17">
        <v>0.96744791666666663</v>
      </c>
    </row>
    <row r="15" spans="1:6" x14ac:dyDescent="0.25">
      <c r="A15" s="13">
        <v>58.740740740740733</v>
      </c>
      <c r="B15" s="13">
        <v>35</v>
      </c>
      <c r="C15" s="17">
        <v>0.15885416666666666</v>
      </c>
      <c r="D15" s="16">
        <v>108.44444444444443</v>
      </c>
      <c r="E15" s="13">
        <v>7</v>
      </c>
      <c r="F15" s="17">
        <v>0.9765625</v>
      </c>
    </row>
    <row r="16" spans="1:6" x14ac:dyDescent="0.25">
      <c r="A16" s="13">
        <v>63.259259259259252</v>
      </c>
      <c r="B16" s="13">
        <v>72</v>
      </c>
      <c r="C16" s="17">
        <v>0.25260416666666669</v>
      </c>
      <c r="D16" s="16">
        <v>45.185185185185183</v>
      </c>
      <c r="E16" s="13">
        <v>4</v>
      </c>
      <c r="F16" s="17">
        <v>0.98177083333333337</v>
      </c>
    </row>
    <row r="17" spans="1:6" x14ac:dyDescent="0.25">
      <c r="A17" s="13">
        <v>67.777777777777771</v>
      </c>
      <c r="B17" s="13">
        <v>80</v>
      </c>
      <c r="C17" s="17">
        <v>0.35677083333333331</v>
      </c>
      <c r="D17" s="16">
        <v>103.92592592592592</v>
      </c>
      <c r="E17" s="13">
        <v>4</v>
      </c>
      <c r="F17" s="17">
        <v>0.98697916666666663</v>
      </c>
    </row>
    <row r="18" spans="1:6" x14ac:dyDescent="0.25">
      <c r="A18" s="13">
        <v>72.296296296296291</v>
      </c>
      <c r="B18" s="13">
        <v>145</v>
      </c>
      <c r="C18" s="17">
        <v>0.54557291666666663</v>
      </c>
      <c r="D18" s="16">
        <v>112.96296296296295</v>
      </c>
      <c r="E18" s="13">
        <v>3</v>
      </c>
      <c r="F18" s="17">
        <v>0.99088541666666663</v>
      </c>
    </row>
    <row r="19" spans="1:6" x14ac:dyDescent="0.25">
      <c r="A19" s="13">
        <v>76.81481481481481</v>
      </c>
      <c r="B19" s="13">
        <v>99</v>
      </c>
      <c r="C19" s="17">
        <v>0.67447916666666663</v>
      </c>
      <c r="D19" s="16">
        <v>31.629629629629626</v>
      </c>
      <c r="E19" s="13">
        <v>2</v>
      </c>
      <c r="F19" s="17">
        <v>0.99348958333333337</v>
      </c>
    </row>
    <row r="20" spans="1:6" x14ac:dyDescent="0.25">
      <c r="A20" s="13">
        <v>81.333333333333329</v>
      </c>
      <c r="B20" s="13">
        <v>85</v>
      </c>
      <c r="C20" s="17">
        <v>0.78515625</v>
      </c>
      <c r="D20" s="16">
        <v>40.666666666666664</v>
      </c>
      <c r="E20" s="13">
        <v>2</v>
      </c>
      <c r="F20" s="17">
        <v>0.99609375</v>
      </c>
    </row>
    <row r="21" spans="1:6" x14ac:dyDescent="0.25">
      <c r="A21" s="13">
        <v>85.851851851851848</v>
      </c>
      <c r="B21" s="13">
        <v>59</v>
      </c>
      <c r="C21" s="17">
        <v>0.86197916666666663</v>
      </c>
      <c r="D21" s="16">
        <v>27.111111111111107</v>
      </c>
      <c r="E21" s="13">
        <v>1</v>
      </c>
      <c r="F21" s="17">
        <v>0.99739583333333337</v>
      </c>
    </row>
    <row r="22" spans="1:6" x14ac:dyDescent="0.25">
      <c r="A22" s="13">
        <v>90.370370370370367</v>
      </c>
      <c r="B22" s="13">
        <v>68</v>
      </c>
      <c r="C22" s="17">
        <v>0.95052083333333337</v>
      </c>
      <c r="D22" s="16">
        <v>117.48148148148147</v>
      </c>
      <c r="E22" s="13">
        <v>1</v>
      </c>
      <c r="F22" s="17">
        <v>0.99869791666666663</v>
      </c>
    </row>
    <row r="23" spans="1:6" x14ac:dyDescent="0.25">
      <c r="A23" s="13">
        <v>94.888888888888886</v>
      </c>
      <c r="B23" s="13">
        <v>14</v>
      </c>
      <c r="C23" s="17">
        <v>0.96875</v>
      </c>
      <c r="D23" s="16" t="s">
        <v>32</v>
      </c>
      <c r="E23" s="13">
        <v>1</v>
      </c>
      <c r="F23" s="17">
        <v>1</v>
      </c>
    </row>
    <row r="24" spans="1:6" x14ac:dyDescent="0.25">
      <c r="A24" s="13">
        <v>99.407407407407405</v>
      </c>
      <c r="B24" s="13">
        <v>8</v>
      </c>
      <c r="C24" s="17">
        <v>0.97916666666666663</v>
      </c>
      <c r="D24" s="16">
        <v>4.5185185185185182</v>
      </c>
      <c r="E24" s="13">
        <v>0</v>
      </c>
      <c r="F24" s="17">
        <v>1</v>
      </c>
    </row>
    <row r="25" spans="1:6" x14ac:dyDescent="0.25">
      <c r="A25" s="13">
        <v>103.92592592592592</v>
      </c>
      <c r="B25" s="13">
        <v>4</v>
      </c>
      <c r="C25" s="17">
        <v>0.984375</v>
      </c>
      <c r="D25" s="16">
        <v>9.0370370370370363</v>
      </c>
      <c r="E25" s="13">
        <v>0</v>
      </c>
      <c r="F25" s="17">
        <v>1</v>
      </c>
    </row>
    <row r="26" spans="1:6" x14ac:dyDescent="0.25">
      <c r="A26" s="13">
        <v>108.44444444444443</v>
      </c>
      <c r="B26" s="13">
        <v>7</v>
      </c>
      <c r="C26" s="17">
        <v>0.99348958333333337</v>
      </c>
      <c r="D26" s="16">
        <v>13.555555555555554</v>
      </c>
      <c r="E26" s="13">
        <v>0</v>
      </c>
      <c r="F26" s="17">
        <v>1</v>
      </c>
    </row>
    <row r="27" spans="1:6" x14ac:dyDescent="0.25">
      <c r="A27" s="13">
        <v>112.96296296296295</v>
      </c>
      <c r="B27" s="13">
        <v>3</v>
      </c>
      <c r="C27" s="17">
        <v>0.99739583333333337</v>
      </c>
      <c r="D27" s="16">
        <v>18.074074074074073</v>
      </c>
      <c r="E27" s="13">
        <v>0</v>
      </c>
      <c r="F27" s="17">
        <v>1</v>
      </c>
    </row>
    <row r="28" spans="1:6" x14ac:dyDescent="0.25">
      <c r="A28" s="13">
        <v>117.48148148148147</v>
      </c>
      <c r="B28" s="13">
        <v>1</v>
      </c>
      <c r="C28" s="17">
        <v>0.99869791666666663</v>
      </c>
      <c r="D28" s="16">
        <v>22.592592592592592</v>
      </c>
      <c r="E28" s="13">
        <v>0</v>
      </c>
      <c r="F28" s="17">
        <v>1</v>
      </c>
    </row>
    <row r="29" spans="1:6" ht="15.75" thickBot="1" x14ac:dyDescent="0.3">
      <c r="A29" s="14" t="s">
        <v>32</v>
      </c>
      <c r="B29" s="14">
        <v>1</v>
      </c>
      <c r="C29" s="18">
        <v>1</v>
      </c>
      <c r="D29" s="19">
        <v>36.148148148148145</v>
      </c>
      <c r="E29" s="14">
        <v>0</v>
      </c>
      <c r="F29" s="18">
        <v>1</v>
      </c>
    </row>
  </sheetData>
  <sortState ref="D2:E29">
    <sortCondition descending="1" ref="E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D1" workbookViewId="0">
      <selection activeCell="S29" sqref="S29"/>
    </sheetView>
  </sheetViews>
  <sheetFormatPr defaultRowHeight="15" x14ac:dyDescent="0.25"/>
  <sheetData>
    <row r="1" spans="1:6" x14ac:dyDescent="0.25">
      <c r="A1" s="15" t="s">
        <v>31</v>
      </c>
      <c r="B1" s="15" t="s">
        <v>33</v>
      </c>
      <c r="C1" s="15" t="s">
        <v>34</v>
      </c>
      <c r="D1" s="15" t="s">
        <v>31</v>
      </c>
      <c r="E1" s="15" t="s">
        <v>33</v>
      </c>
      <c r="F1" s="15" t="s">
        <v>34</v>
      </c>
    </row>
    <row r="2" spans="1:6" x14ac:dyDescent="0.25">
      <c r="A2" s="13">
        <v>21</v>
      </c>
      <c r="B2" s="13">
        <v>64</v>
      </c>
      <c r="C2" s="17">
        <v>8.3333333333333329E-2</v>
      </c>
      <c r="D2" s="16">
        <v>23.222222222222221</v>
      </c>
      <c r="E2" s="13">
        <v>110</v>
      </c>
      <c r="F2" s="17">
        <v>0.14322916666666666</v>
      </c>
    </row>
    <row r="3" spans="1:6" x14ac:dyDescent="0.25">
      <c r="A3" s="13">
        <v>23.222222222222221</v>
      </c>
      <c r="B3" s="13">
        <v>110</v>
      </c>
      <c r="C3" s="17">
        <v>0.2265625</v>
      </c>
      <c r="D3" s="16">
        <v>25.444444444444443</v>
      </c>
      <c r="E3" s="13">
        <v>94</v>
      </c>
      <c r="F3" s="17">
        <v>0.265625</v>
      </c>
    </row>
    <row r="4" spans="1:6" x14ac:dyDescent="0.25">
      <c r="A4" s="13">
        <v>25.444444444444443</v>
      </c>
      <c r="B4" s="13">
        <v>94</v>
      </c>
      <c r="C4" s="17">
        <v>0.34895833333333331</v>
      </c>
      <c r="D4" s="16">
        <v>27.666666666666668</v>
      </c>
      <c r="E4" s="13">
        <v>65</v>
      </c>
      <c r="F4" s="17">
        <v>0.35026041666666669</v>
      </c>
    </row>
    <row r="5" spans="1:6" x14ac:dyDescent="0.25">
      <c r="A5" s="13">
        <v>27.666666666666668</v>
      </c>
      <c r="B5" s="13">
        <v>65</v>
      </c>
      <c r="C5" s="17">
        <v>0.43359375</v>
      </c>
      <c r="D5" s="16">
        <v>21</v>
      </c>
      <c r="E5" s="13">
        <v>64</v>
      </c>
      <c r="F5" s="17">
        <v>0.43359375</v>
      </c>
    </row>
    <row r="6" spans="1:6" x14ac:dyDescent="0.25">
      <c r="A6" s="13">
        <v>29.888888888888889</v>
      </c>
      <c r="B6" s="13">
        <v>64</v>
      </c>
      <c r="C6" s="17">
        <v>0.51692708333333337</v>
      </c>
      <c r="D6" s="16">
        <v>29.888888888888889</v>
      </c>
      <c r="E6" s="13">
        <v>64</v>
      </c>
      <c r="F6" s="17">
        <v>0.51692708333333337</v>
      </c>
    </row>
    <row r="7" spans="1:6" x14ac:dyDescent="0.25">
      <c r="A7" s="13">
        <v>32.111111111111114</v>
      </c>
      <c r="B7" s="13">
        <v>61</v>
      </c>
      <c r="C7" s="17">
        <v>0.59635416666666663</v>
      </c>
      <c r="D7" s="16">
        <v>32.111111111111114</v>
      </c>
      <c r="E7" s="13">
        <v>61</v>
      </c>
      <c r="F7" s="17">
        <v>0.59635416666666663</v>
      </c>
    </row>
    <row r="8" spans="1:6" x14ac:dyDescent="0.25">
      <c r="A8" s="13">
        <v>34.333333333333336</v>
      </c>
      <c r="B8" s="13">
        <v>31</v>
      </c>
      <c r="C8" s="17">
        <v>0.63671875</v>
      </c>
      <c r="D8" s="16">
        <v>41</v>
      </c>
      <c r="E8" s="13">
        <v>47</v>
      </c>
      <c r="F8" s="17">
        <v>0.65755208333333337</v>
      </c>
    </row>
    <row r="9" spans="1:6" x14ac:dyDescent="0.25">
      <c r="A9" s="13">
        <v>36.555555555555557</v>
      </c>
      <c r="B9" s="13">
        <v>26</v>
      </c>
      <c r="C9" s="17">
        <v>0.67057291666666663</v>
      </c>
      <c r="D9" s="16">
        <v>38.777777777777779</v>
      </c>
      <c r="E9" s="13">
        <v>35</v>
      </c>
      <c r="F9" s="17">
        <v>0.703125</v>
      </c>
    </row>
    <row r="10" spans="1:6" x14ac:dyDescent="0.25">
      <c r="A10" s="13">
        <v>38.777777777777779</v>
      </c>
      <c r="B10" s="13">
        <v>35</v>
      </c>
      <c r="C10" s="17">
        <v>0.71614583333333337</v>
      </c>
      <c r="D10" s="16">
        <v>34.333333333333336</v>
      </c>
      <c r="E10" s="13">
        <v>31</v>
      </c>
      <c r="F10" s="17">
        <v>0.74348958333333337</v>
      </c>
    </row>
    <row r="11" spans="1:6" x14ac:dyDescent="0.25">
      <c r="A11" s="13">
        <v>41</v>
      </c>
      <c r="B11" s="13">
        <v>47</v>
      </c>
      <c r="C11" s="17">
        <v>0.77734375</v>
      </c>
      <c r="D11" s="16">
        <v>43.222222222222221</v>
      </c>
      <c r="E11" s="13">
        <v>31</v>
      </c>
      <c r="F11" s="17">
        <v>0.78385416666666663</v>
      </c>
    </row>
    <row r="12" spans="1:6" x14ac:dyDescent="0.25">
      <c r="A12" s="13">
        <v>43.222222222222221</v>
      </c>
      <c r="B12" s="13">
        <v>31</v>
      </c>
      <c r="C12" s="17">
        <v>0.81770833333333337</v>
      </c>
      <c r="D12" s="16">
        <v>36.555555555555557</v>
      </c>
      <c r="E12" s="13">
        <v>26</v>
      </c>
      <c r="F12" s="17">
        <v>0.81770833333333337</v>
      </c>
    </row>
    <row r="13" spans="1:6" x14ac:dyDescent="0.25">
      <c r="A13" s="13">
        <v>45.444444444444443</v>
      </c>
      <c r="B13" s="13">
        <v>23</v>
      </c>
      <c r="C13" s="17">
        <v>0.84765625</v>
      </c>
      <c r="D13" s="16">
        <v>45.444444444444443</v>
      </c>
      <c r="E13" s="13">
        <v>23</v>
      </c>
      <c r="F13" s="17">
        <v>0.84765625</v>
      </c>
    </row>
    <row r="14" spans="1:6" x14ac:dyDescent="0.25">
      <c r="A14" s="13">
        <v>47.666666666666671</v>
      </c>
      <c r="B14" s="13">
        <v>19</v>
      </c>
      <c r="C14" s="17">
        <v>0.87239583333333337</v>
      </c>
      <c r="D14" s="16">
        <v>52.111111111111114</v>
      </c>
      <c r="E14" s="13">
        <v>23</v>
      </c>
      <c r="F14" s="17">
        <v>0.87760416666666663</v>
      </c>
    </row>
    <row r="15" spans="1:6" x14ac:dyDescent="0.25">
      <c r="A15" s="13">
        <v>49.888888888888886</v>
      </c>
      <c r="B15" s="13">
        <v>10</v>
      </c>
      <c r="C15" s="17">
        <v>0.88541666666666663</v>
      </c>
      <c r="D15" s="16">
        <v>47.666666666666671</v>
      </c>
      <c r="E15" s="13">
        <v>19</v>
      </c>
      <c r="F15" s="17">
        <v>0.90234375</v>
      </c>
    </row>
    <row r="16" spans="1:6" x14ac:dyDescent="0.25">
      <c r="A16" s="13">
        <v>52.111111111111114</v>
      </c>
      <c r="B16" s="13">
        <v>23</v>
      </c>
      <c r="C16" s="17">
        <v>0.91536458333333337</v>
      </c>
      <c r="D16" s="16">
        <v>58.777777777777779</v>
      </c>
      <c r="E16" s="13">
        <v>12</v>
      </c>
      <c r="F16" s="17">
        <v>0.91796875</v>
      </c>
    </row>
    <row r="17" spans="1:6" x14ac:dyDescent="0.25">
      <c r="A17" s="13">
        <v>54.333333333333336</v>
      </c>
      <c r="B17" s="13">
        <v>11</v>
      </c>
      <c r="C17" s="17">
        <v>0.9296875</v>
      </c>
      <c r="D17" s="16">
        <v>54.333333333333336</v>
      </c>
      <c r="E17" s="13">
        <v>11</v>
      </c>
      <c r="F17" s="17">
        <v>0.93229166666666663</v>
      </c>
    </row>
    <row r="18" spans="1:6" x14ac:dyDescent="0.25">
      <c r="A18" s="13">
        <v>56.555555555555557</v>
      </c>
      <c r="B18" s="13">
        <v>7</v>
      </c>
      <c r="C18" s="17">
        <v>0.93880208333333337</v>
      </c>
      <c r="D18" s="16">
        <v>49.888888888888886</v>
      </c>
      <c r="E18" s="13">
        <v>10</v>
      </c>
      <c r="F18" s="17">
        <v>0.9453125</v>
      </c>
    </row>
    <row r="19" spans="1:6" x14ac:dyDescent="0.25">
      <c r="A19" s="13">
        <v>58.777777777777779</v>
      </c>
      <c r="B19" s="13">
        <v>12</v>
      </c>
      <c r="C19" s="17">
        <v>0.95442708333333337</v>
      </c>
      <c r="D19" s="16">
        <v>61</v>
      </c>
      <c r="E19" s="13">
        <v>10</v>
      </c>
      <c r="F19" s="17">
        <v>0.95833333333333337</v>
      </c>
    </row>
    <row r="20" spans="1:6" x14ac:dyDescent="0.25">
      <c r="A20" s="13">
        <v>61</v>
      </c>
      <c r="B20" s="13">
        <v>10</v>
      </c>
      <c r="C20" s="17">
        <v>0.96744791666666663</v>
      </c>
      <c r="D20" s="16">
        <v>63.222222222222221</v>
      </c>
      <c r="E20" s="13">
        <v>8</v>
      </c>
      <c r="F20" s="17">
        <v>0.96875</v>
      </c>
    </row>
    <row r="21" spans="1:6" x14ac:dyDescent="0.25">
      <c r="A21" s="13">
        <v>63.222222222222221</v>
      </c>
      <c r="B21" s="13">
        <v>8</v>
      </c>
      <c r="C21" s="17">
        <v>0.97786458333333337</v>
      </c>
      <c r="D21" s="16">
        <v>56.555555555555557</v>
      </c>
      <c r="E21" s="13">
        <v>7</v>
      </c>
      <c r="F21" s="17">
        <v>0.97786458333333337</v>
      </c>
    </row>
    <row r="22" spans="1:6" x14ac:dyDescent="0.25">
      <c r="A22" s="13">
        <v>65.444444444444443</v>
      </c>
      <c r="B22" s="13">
        <v>4</v>
      </c>
      <c r="C22" s="17">
        <v>0.98307291666666663</v>
      </c>
      <c r="D22" s="16">
        <v>67.666666666666671</v>
      </c>
      <c r="E22" s="13">
        <v>7</v>
      </c>
      <c r="F22" s="17">
        <v>0.98697916666666663</v>
      </c>
    </row>
    <row r="23" spans="1:6" x14ac:dyDescent="0.25">
      <c r="A23" s="13">
        <v>67.666666666666671</v>
      </c>
      <c r="B23" s="13">
        <v>7</v>
      </c>
      <c r="C23" s="17">
        <v>0.9921875</v>
      </c>
      <c r="D23" s="16">
        <v>65.444444444444443</v>
      </c>
      <c r="E23" s="13">
        <v>4</v>
      </c>
      <c r="F23" s="17">
        <v>0.9921875</v>
      </c>
    </row>
    <row r="24" spans="1:6" x14ac:dyDescent="0.25">
      <c r="A24" s="13">
        <v>69.888888888888886</v>
      </c>
      <c r="B24" s="13">
        <v>3</v>
      </c>
      <c r="C24" s="17">
        <v>0.99609375</v>
      </c>
      <c r="D24" s="16">
        <v>69.888888888888886</v>
      </c>
      <c r="E24" s="13">
        <v>3</v>
      </c>
      <c r="F24" s="17">
        <v>0.99609375</v>
      </c>
    </row>
    <row r="25" spans="1:6" x14ac:dyDescent="0.25">
      <c r="A25" s="13">
        <v>72.111111111111114</v>
      </c>
      <c r="B25" s="13">
        <v>2</v>
      </c>
      <c r="C25" s="17">
        <v>0.99869791666666663</v>
      </c>
      <c r="D25" s="16">
        <v>72.111111111111114</v>
      </c>
      <c r="E25" s="13">
        <v>2</v>
      </c>
      <c r="F25" s="17">
        <v>0.99869791666666663</v>
      </c>
    </row>
    <row r="26" spans="1:6" x14ac:dyDescent="0.25">
      <c r="A26" s="13">
        <v>74.333333333333343</v>
      </c>
      <c r="B26" s="13">
        <v>0</v>
      </c>
      <c r="C26" s="17">
        <v>0.99869791666666663</v>
      </c>
      <c r="D26" s="16" t="s">
        <v>32</v>
      </c>
      <c r="E26" s="13">
        <v>1</v>
      </c>
      <c r="F26" s="17">
        <v>1</v>
      </c>
    </row>
    <row r="27" spans="1:6" x14ac:dyDescent="0.25">
      <c r="A27" s="13">
        <v>76.555555555555557</v>
      </c>
      <c r="B27" s="13">
        <v>0</v>
      </c>
      <c r="C27" s="17">
        <v>0.99869791666666663</v>
      </c>
      <c r="D27" s="16">
        <v>74.333333333333343</v>
      </c>
      <c r="E27" s="13">
        <v>0</v>
      </c>
      <c r="F27" s="17">
        <v>1</v>
      </c>
    </row>
    <row r="28" spans="1:6" x14ac:dyDescent="0.25">
      <c r="A28" s="13">
        <v>78.777777777777771</v>
      </c>
      <c r="B28" s="13">
        <v>0</v>
      </c>
      <c r="C28" s="17">
        <v>0.99869791666666663</v>
      </c>
      <c r="D28" s="16">
        <v>76.555555555555557</v>
      </c>
      <c r="E28" s="13">
        <v>0</v>
      </c>
      <c r="F28" s="17">
        <v>1</v>
      </c>
    </row>
    <row r="29" spans="1:6" ht="15.75" thickBot="1" x14ac:dyDescent="0.3">
      <c r="A29" s="14" t="s">
        <v>32</v>
      </c>
      <c r="B29" s="14">
        <v>1</v>
      </c>
      <c r="C29" s="18">
        <v>1</v>
      </c>
      <c r="D29" s="19">
        <v>78.777777777777771</v>
      </c>
      <c r="E29" s="14">
        <v>0</v>
      </c>
      <c r="F29" s="18">
        <v>1</v>
      </c>
    </row>
  </sheetData>
  <sortState ref="D2:E29">
    <sortCondition descending="1" ref="E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F14" sqref="F14"/>
    </sheetView>
  </sheetViews>
  <sheetFormatPr defaultRowHeight="15" x14ac:dyDescent="0.25"/>
  <cols>
    <col min="1" max="1" width="18.140625" bestFit="1" customWidth="1"/>
    <col min="2" max="2" width="12.7109375" bestFit="1" customWidth="1"/>
  </cols>
  <sheetData>
    <row r="1" spans="1:2" x14ac:dyDescent="0.25">
      <c r="A1" s="20" t="s">
        <v>3</v>
      </c>
      <c r="B1" s="20"/>
    </row>
    <row r="2" spans="1:2" x14ac:dyDescent="0.25">
      <c r="A2" s="13"/>
      <c r="B2" s="13"/>
    </row>
    <row r="3" spans="1:2" x14ac:dyDescent="0.25">
      <c r="A3" s="13" t="s">
        <v>10</v>
      </c>
      <c r="B3" s="13">
        <v>69.015604681404426</v>
      </c>
    </row>
    <row r="4" spans="1:2" x14ac:dyDescent="0.25">
      <c r="A4" s="13" t="s">
        <v>38</v>
      </c>
      <c r="B4" s="13">
        <v>0.70329851474095018</v>
      </c>
    </row>
    <row r="5" spans="1:2" x14ac:dyDescent="0.25">
      <c r="A5" s="13" t="s">
        <v>11</v>
      </c>
      <c r="B5" s="13">
        <v>72</v>
      </c>
    </row>
    <row r="6" spans="1:2" x14ac:dyDescent="0.25">
      <c r="A6" s="13" t="s">
        <v>16</v>
      </c>
      <c r="B6" s="13">
        <v>70</v>
      </c>
    </row>
    <row r="7" spans="1:2" x14ac:dyDescent="0.25">
      <c r="A7" s="13" t="s">
        <v>39</v>
      </c>
      <c r="B7" s="13">
        <v>19.503065088429551</v>
      </c>
    </row>
    <row r="8" spans="1:2" x14ac:dyDescent="0.25">
      <c r="A8" s="13" t="s">
        <v>22</v>
      </c>
      <c r="B8" s="13">
        <v>380.36954784351957</v>
      </c>
    </row>
    <row r="9" spans="1:2" x14ac:dyDescent="0.25">
      <c r="A9" s="13" t="s">
        <v>40</v>
      </c>
      <c r="B9" s="13">
        <v>5.097682673355532</v>
      </c>
    </row>
    <row r="10" spans="1:2" x14ac:dyDescent="0.25">
      <c r="A10" s="13" t="s">
        <v>41</v>
      </c>
      <c r="B10" s="13">
        <v>-1.8440263492904192</v>
      </c>
    </row>
    <row r="11" spans="1:2" x14ac:dyDescent="0.25">
      <c r="A11" s="13" t="s">
        <v>42</v>
      </c>
      <c r="B11" s="13">
        <v>122</v>
      </c>
    </row>
    <row r="12" spans="1:2" x14ac:dyDescent="0.25">
      <c r="A12" s="13" t="s">
        <v>43</v>
      </c>
      <c r="B12" s="13">
        <v>0</v>
      </c>
    </row>
    <row r="13" spans="1:2" x14ac:dyDescent="0.25">
      <c r="A13" s="13" t="s">
        <v>44</v>
      </c>
      <c r="B13" s="13">
        <v>122</v>
      </c>
    </row>
    <row r="14" spans="1:2" x14ac:dyDescent="0.25">
      <c r="A14" s="13" t="s">
        <v>45</v>
      </c>
      <c r="B14" s="13">
        <v>53073</v>
      </c>
    </row>
    <row r="15" spans="1:2" ht="15.75" thickBot="1" x14ac:dyDescent="0.3">
      <c r="A15" s="14" t="s">
        <v>17</v>
      </c>
      <c r="B15" s="14">
        <v>769</v>
      </c>
    </row>
    <row r="16" spans="1:2" x14ac:dyDescent="0.25">
      <c r="A16" s="13" t="s">
        <v>52</v>
      </c>
      <c r="B16" s="13">
        <v>1.95</v>
      </c>
    </row>
    <row r="19" spans="1:2" x14ac:dyDescent="0.25">
      <c r="A19" t="s">
        <v>46</v>
      </c>
      <c r="B19">
        <f>(B16*B7)/SQRT(B15)</f>
        <v>1.3714321037448529</v>
      </c>
    </row>
    <row r="20" spans="1:2" x14ac:dyDescent="0.25">
      <c r="A20" t="s">
        <v>47</v>
      </c>
      <c r="B20">
        <f>B3+B19</f>
        <v>70.387036785149277</v>
      </c>
    </row>
    <row r="21" spans="1:2" x14ac:dyDescent="0.25">
      <c r="A21" t="s">
        <v>48</v>
      </c>
      <c r="B21">
        <f>B3-B19</f>
        <v>67.644172577659575</v>
      </c>
    </row>
    <row r="22" spans="1:2" x14ac:dyDescent="0.25">
      <c r="A22" t="s">
        <v>49</v>
      </c>
      <c r="B22">
        <v>122</v>
      </c>
    </row>
    <row r="23" spans="1:2" x14ac:dyDescent="0.25">
      <c r="A23" t="s">
        <v>50</v>
      </c>
      <c r="B23">
        <v>0</v>
      </c>
    </row>
    <row r="24" spans="1:2" x14ac:dyDescent="0.25">
      <c r="A24" t="s">
        <v>51</v>
      </c>
      <c r="B24">
        <f>B22-B23</f>
        <v>122</v>
      </c>
    </row>
    <row r="26" spans="1:2" x14ac:dyDescent="0.25">
      <c r="A26" t="s">
        <v>52</v>
      </c>
      <c r="B26">
        <f>_xlfn.CONFIDENCE.T(0.5,B7,B15)</f>
        <v>0.47459240055751795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B20" sqref="A1:B20"/>
    </sheetView>
  </sheetViews>
  <sheetFormatPr defaultRowHeight="15" x14ac:dyDescent="0.25"/>
  <cols>
    <col min="1" max="1" width="18.140625" bestFit="1" customWidth="1"/>
    <col min="2" max="2" width="12" bestFit="1" customWidth="1"/>
  </cols>
  <sheetData>
    <row r="1" spans="1:2" x14ac:dyDescent="0.25">
      <c r="A1" s="20" t="s">
        <v>8</v>
      </c>
      <c r="B1" s="20"/>
    </row>
    <row r="2" spans="1:2" x14ac:dyDescent="0.25">
      <c r="A2" s="13"/>
      <c r="B2" s="13"/>
    </row>
    <row r="3" spans="1:2" x14ac:dyDescent="0.25">
      <c r="A3" s="13" t="s">
        <v>10</v>
      </c>
      <c r="B3" s="13">
        <v>33.224967490247074</v>
      </c>
    </row>
    <row r="4" spans="1:2" x14ac:dyDescent="0.25">
      <c r="A4" s="13" t="s">
        <v>38</v>
      </c>
      <c r="B4" s="13">
        <v>0.42410743620195995</v>
      </c>
    </row>
    <row r="5" spans="1:2" x14ac:dyDescent="0.25">
      <c r="A5" s="13" t="s">
        <v>11</v>
      </c>
      <c r="B5" s="13">
        <v>29</v>
      </c>
    </row>
    <row r="6" spans="1:2" x14ac:dyDescent="0.25">
      <c r="A6" s="13" t="s">
        <v>16</v>
      </c>
      <c r="B6" s="13">
        <v>22</v>
      </c>
    </row>
    <row r="7" spans="1:2" x14ac:dyDescent="0.25">
      <c r="A7" s="13" t="s">
        <v>39</v>
      </c>
      <c r="B7" s="13">
        <v>11.760859378155315</v>
      </c>
    </row>
    <row r="8" spans="1:2" x14ac:dyDescent="0.25">
      <c r="A8" s="13" t="s">
        <v>22</v>
      </c>
      <c r="B8" s="13">
        <v>138.31781331274382</v>
      </c>
    </row>
    <row r="9" spans="1:2" x14ac:dyDescent="0.25">
      <c r="A9" s="13" t="s">
        <v>40</v>
      </c>
      <c r="B9" s="13">
        <v>0.64528019068341047</v>
      </c>
    </row>
    <row r="10" spans="1:2" x14ac:dyDescent="0.25">
      <c r="A10" s="13" t="s">
        <v>41</v>
      </c>
      <c r="B10" s="13">
        <v>1.1305404274093638</v>
      </c>
    </row>
    <row r="11" spans="1:2" x14ac:dyDescent="0.25">
      <c r="A11" s="13" t="s">
        <v>42</v>
      </c>
      <c r="B11" s="13">
        <v>60</v>
      </c>
    </row>
    <row r="12" spans="1:2" x14ac:dyDescent="0.25">
      <c r="A12" s="13" t="s">
        <v>43</v>
      </c>
      <c r="B12" s="13">
        <v>21</v>
      </c>
    </row>
    <row r="13" spans="1:2" x14ac:dyDescent="0.25">
      <c r="A13" s="13" t="s">
        <v>44</v>
      </c>
      <c r="B13" s="13">
        <v>81</v>
      </c>
    </row>
    <row r="14" spans="1:2" x14ac:dyDescent="0.25">
      <c r="A14" s="13" t="s">
        <v>45</v>
      </c>
      <c r="B14" s="13">
        <v>25550</v>
      </c>
    </row>
    <row r="15" spans="1:2" ht="15.75" thickBot="1" x14ac:dyDescent="0.3">
      <c r="A15" s="14" t="s">
        <v>17</v>
      </c>
      <c r="B15" s="14">
        <v>769</v>
      </c>
    </row>
    <row r="16" spans="1:2" x14ac:dyDescent="0.25">
      <c r="A16" s="13" t="s">
        <v>52</v>
      </c>
      <c r="B16" s="13">
        <v>1.95</v>
      </c>
    </row>
    <row r="18" spans="1:2" x14ac:dyDescent="0.25">
      <c r="A18" t="s">
        <v>46</v>
      </c>
      <c r="B18">
        <f>(B16*B7)/SQRT(B15)</f>
        <v>0.82700950059382183</v>
      </c>
    </row>
    <row r="19" spans="1:2" x14ac:dyDescent="0.25">
      <c r="A19" t="s">
        <v>47</v>
      </c>
      <c r="B19">
        <f>B3+B18</f>
        <v>34.051976990840899</v>
      </c>
    </row>
    <row r="20" spans="1:2" x14ac:dyDescent="0.25">
      <c r="A20" t="s">
        <v>48</v>
      </c>
      <c r="B20">
        <f>B3-B18</f>
        <v>32.39795798965325</v>
      </c>
    </row>
    <row r="21" spans="1:2" x14ac:dyDescent="0.25">
      <c r="A21" t="s">
        <v>49</v>
      </c>
      <c r="B21">
        <v>81</v>
      </c>
    </row>
    <row r="22" spans="1:2" x14ac:dyDescent="0.25">
      <c r="A22" t="s">
        <v>50</v>
      </c>
      <c r="B22">
        <v>21</v>
      </c>
    </row>
    <row r="23" spans="1:2" x14ac:dyDescent="0.25">
      <c r="A23" t="s">
        <v>51</v>
      </c>
      <c r="B23">
        <f>B21-B22</f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0"/>
  <sheetViews>
    <sheetView tabSelected="1" topLeftCell="E1" workbookViewId="0">
      <selection activeCell="I1" sqref="I1"/>
    </sheetView>
  </sheetViews>
  <sheetFormatPr defaultRowHeight="15" x14ac:dyDescent="0.25"/>
  <cols>
    <col min="9" max="9" width="3.5703125" bestFit="1" customWidth="1"/>
    <col min="11" max="11" width="10.42578125" bestFit="1" customWidth="1"/>
    <col min="12" max="12" width="3.5703125" bestFit="1" customWidth="1"/>
    <col min="13" max="13" width="10.42578125" bestFit="1" customWidth="1"/>
    <col min="14" max="14" width="3.5703125" bestFit="1" customWidth="1"/>
    <col min="15" max="16" width="5.140625" bestFit="1" customWidth="1"/>
    <col min="17" max="17" width="4" bestFit="1" customWidth="1"/>
    <col min="18" max="18" width="5.28515625" bestFit="1" customWidth="1"/>
    <col min="19" max="19" width="3.5703125" bestFit="1" customWidth="1"/>
    <col min="20" max="20" width="5.28515625" bestFit="1" customWidth="1"/>
    <col min="21" max="21" width="21.140625" bestFit="1" customWidth="1"/>
    <col min="22" max="22" width="9.7109375" bestFit="1" customWidth="1"/>
    <col min="23" max="23" width="21.140625" bestFit="1" customWidth="1"/>
  </cols>
  <sheetData>
    <row r="1" spans="1:24" ht="7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1" t="s">
        <v>14</v>
      </c>
      <c r="N1" s="1" t="s">
        <v>15</v>
      </c>
      <c r="O1" s="1" t="s">
        <v>18</v>
      </c>
      <c r="P1" s="1" t="s">
        <v>19</v>
      </c>
      <c r="Q1" s="1" t="s">
        <v>23</v>
      </c>
      <c r="R1" s="1" t="s">
        <v>35</v>
      </c>
      <c r="S1" s="1" t="s">
        <v>24</v>
      </c>
      <c r="T1" s="1" t="s">
        <v>35</v>
      </c>
      <c r="U1" s="6"/>
      <c r="V1" s="6"/>
      <c r="W1" s="6"/>
    </row>
    <row r="2" spans="1:24" ht="15.75" x14ac:dyDescent="0.25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>
        <v>1</v>
      </c>
      <c r="K2" t="str">
        <f xml:space="preserve"> IF(COUNTIF($D$2:$D770,D2)&gt;1,"duplicated","original")</f>
        <v>duplicated</v>
      </c>
      <c r="L2" s="2">
        <f>COUNTIF($D$2:$D2,D2)</f>
        <v>1</v>
      </c>
      <c r="M2" t="str">
        <f xml:space="preserve"> IF(COUNTIF($I$2:$I770,I2)&gt;1,"duplicated","original")</f>
        <v>duplicated</v>
      </c>
      <c r="N2" s="2">
        <f>COUNTIF($I$2:$I2,I2)</f>
        <v>1</v>
      </c>
      <c r="O2" s="8">
        <f t="shared" ref="O2:O65" si="0">SQRT(ABS($D2 - $U$8))</f>
        <v>1.7275402509335562</v>
      </c>
      <c r="P2" s="8">
        <f t="shared" ref="P2:P65" si="1">SQRT(ABS($I2 - $W$8))</f>
        <v>4.095733451990367</v>
      </c>
      <c r="Q2">
        <v>0</v>
      </c>
      <c r="R2" s="9">
        <f>STANDARDIZE($Q2,$U$8,$U$26)</f>
        <v>-3.5387055505623493</v>
      </c>
      <c r="S2">
        <v>21</v>
      </c>
      <c r="T2" s="9">
        <f>STANDARDIZE($I2,$U$8,$U$26)</f>
        <v>-0.97500595907284759</v>
      </c>
      <c r="U2" s="21" t="s">
        <v>20</v>
      </c>
      <c r="V2" s="4"/>
      <c r="W2" s="21" t="s">
        <v>21</v>
      </c>
    </row>
    <row r="3" spans="1:24" ht="15.75" x14ac:dyDescent="0.25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>
        <v>0</v>
      </c>
      <c r="K3" t="str">
        <f xml:space="preserve"> IF(COUNTIF($D$2:$D757,D3)&gt;1,"duplicated","original")</f>
        <v>duplicated</v>
      </c>
      <c r="L3" s="2">
        <f>COUNTIF($D$2:$D3,D3)</f>
        <v>1</v>
      </c>
      <c r="M3" t="str">
        <f xml:space="preserve"> IF(COUNTIF($I$2:$I757,I3)&gt;1,"duplicated","original")</f>
        <v>duplicated</v>
      </c>
      <c r="N3" s="2">
        <f>COUNTIF($I$2:$I3,I3)</f>
        <v>1</v>
      </c>
      <c r="O3" s="8">
        <f t="shared" si="0"/>
        <v>1.7365496484133203</v>
      </c>
      <c r="P3" s="8">
        <f t="shared" si="1"/>
        <v>1.4916324916838848</v>
      </c>
      <c r="Q3">
        <v>0</v>
      </c>
      <c r="R3" s="9">
        <f>STANDARDIZE($Q3,$U$8,$U$26)</f>
        <v>-3.5387055505623493</v>
      </c>
      <c r="S3">
        <v>21</v>
      </c>
      <c r="T3" s="9">
        <f t="shared" ref="T3:T66" si="2">STANDARDIZE($I3,$U$8,$U$26)</f>
        <v>-1.9492118038388582</v>
      </c>
      <c r="U3" s="12">
        <f xml:space="preserve"> COUNT($D$2:$D770)</f>
        <v>769</v>
      </c>
      <c r="V3" s="4"/>
      <c r="W3" s="12">
        <f xml:space="preserve"> COUNT($I$2:$I770)</f>
        <v>769</v>
      </c>
    </row>
    <row r="4" spans="1:24" ht="15.75" x14ac:dyDescent="0.25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>
        <v>1</v>
      </c>
      <c r="K4" t="str">
        <f xml:space="preserve"> IF(COUNTIF($D$2:$D772,D4)&gt;1,"duplicated","original")</f>
        <v>duplicated</v>
      </c>
      <c r="L4" s="2">
        <f>COUNTIF($D$2:$D4,D4)</f>
        <v>1</v>
      </c>
      <c r="M4" t="str">
        <f xml:space="preserve"> IF(COUNTIF($I$2:$I772,I4)&gt;1,"duplicated","original")</f>
        <v>duplicated</v>
      </c>
      <c r="N4" s="2">
        <f>COUNTIF($I$2:$I4,I4)</f>
        <v>1</v>
      </c>
      <c r="O4" s="8">
        <f t="shared" si="0"/>
        <v>2.2395545720978594</v>
      </c>
      <c r="P4" s="8">
        <f t="shared" si="1"/>
        <v>1.1067824945521474</v>
      </c>
      <c r="Q4">
        <v>0</v>
      </c>
      <c r="R4" s="9">
        <f>STANDARDIZE($Q4,$U$8,$U$26)</f>
        <v>-3.5387055505623493</v>
      </c>
      <c r="S4">
        <v>21</v>
      </c>
      <c r="T4" s="9">
        <f t="shared" si="2"/>
        <v>-1.8979378120090682</v>
      </c>
      <c r="U4" s="4"/>
      <c r="V4" s="4"/>
      <c r="W4" s="4"/>
    </row>
    <row r="5" spans="1:24" ht="15.75" x14ac:dyDescent="0.25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>
        <v>0</v>
      </c>
      <c r="K5" t="str">
        <f xml:space="preserve"> IF(COUNTIF($D$2:$D773,D5)&gt;1,"duplicated","original")</f>
        <v>duplicated</v>
      </c>
      <c r="L5" s="2">
        <f>COUNTIF($D$2:$D5,D5)</f>
        <v>2</v>
      </c>
      <c r="M5" t="str">
        <f xml:space="preserve"> IF(COUNTIF($I$2:$I773,I5)&gt;1,"duplicated","original")</f>
        <v>duplicated</v>
      </c>
      <c r="N5" s="2">
        <f>COUNTIF($I$2:$I5,I5)</f>
        <v>1</v>
      </c>
      <c r="O5" s="8">
        <f t="shared" si="0"/>
        <v>1.7365496484133203</v>
      </c>
      <c r="P5" s="8">
        <f t="shared" si="1"/>
        <v>3.4964220984096119</v>
      </c>
      <c r="Q5">
        <v>0</v>
      </c>
      <c r="R5" s="9">
        <f t="shared" ref="R5:R68" si="3">STANDARDIZE($Q5,$U$8,$U$26)</f>
        <v>-3.5387055505623493</v>
      </c>
      <c r="S5">
        <v>21</v>
      </c>
      <c r="T5" s="9">
        <f t="shared" si="2"/>
        <v>-2.4619517221367584</v>
      </c>
      <c r="U5" s="12"/>
      <c r="V5" s="4"/>
      <c r="W5" s="12"/>
    </row>
    <row r="6" spans="1:24" ht="15.75" x14ac:dyDescent="0.25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>
        <v>1</v>
      </c>
      <c r="K6" t="str">
        <f xml:space="preserve"> IF(COUNTIF($D$2:$D760,$D$3)&gt;1,"duplicated","original")</f>
        <v>duplicated</v>
      </c>
      <c r="L6" s="2">
        <f>COUNTIF($D$2:$D6,D6)</f>
        <v>1</v>
      </c>
      <c r="M6" t="str">
        <f xml:space="preserve"> IF(COUNTIF($I$2:$I774,I6)&gt;1,"duplicated","original")</f>
        <v>duplicated</v>
      </c>
      <c r="N6" s="2">
        <f>COUNTIF($I$2:$I6,I6)</f>
        <v>1</v>
      </c>
      <c r="O6" s="8">
        <f t="shared" si="0"/>
        <v>5.386613470577263</v>
      </c>
      <c r="P6" s="8">
        <f t="shared" si="1"/>
        <v>0.47430737949885876</v>
      </c>
      <c r="Q6">
        <v>0</v>
      </c>
      <c r="R6" s="9">
        <f t="shared" si="3"/>
        <v>-3.5387055505623493</v>
      </c>
      <c r="S6">
        <v>21</v>
      </c>
      <c r="T6" s="9">
        <f t="shared" si="2"/>
        <v>-1.8466638201792782</v>
      </c>
      <c r="U6" s="4"/>
      <c r="V6" s="4"/>
      <c r="W6" s="4"/>
    </row>
    <row r="7" spans="1:24" ht="15.75" x14ac:dyDescent="0.25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>
        <v>0</v>
      </c>
      <c r="K7" t="str">
        <f xml:space="preserve"> IF(COUNTIF($D$2:$D775,D7)&gt;1,"duplicated","original")</f>
        <v>duplicated</v>
      </c>
      <c r="L7" s="2">
        <f>COUNTIF($D$2:$D7,D7)</f>
        <v>1</v>
      </c>
      <c r="M7" t="str">
        <f xml:space="preserve"> IF(COUNTIF($I$2:$I761,I7)&gt;1,"duplicated","original")</f>
        <v>duplicated</v>
      </c>
      <c r="N7" s="2">
        <f>COUNTIF($I$2:$I7,I7)</f>
        <v>1</v>
      </c>
      <c r="O7" s="8">
        <f t="shared" si="0"/>
        <v>2.2325759379236296</v>
      </c>
      <c r="P7" s="8">
        <f t="shared" si="1"/>
        <v>1.7958194481202931</v>
      </c>
      <c r="Q7">
        <v>0</v>
      </c>
      <c r="R7" s="9">
        <f t="shared" si="3"/>
        <v>-3.5387055505623493</v>
      </c>
      <c r="S7">
        <v>21</v>
      </c>
      <c r="T7" s="9">
        <f t="shared" si="2"/>
        <v>-2.0004857956686481</v>
      </c>
      <c r="U7" s="21" t="s">
        <v>10</v>
      </c>
      <c r="V7" s="21"/>
      <c r="W7" s="21" t="s">
        <v>10</v>
      </c>
    </row>
    <row r="8" spans="1:24" ht="15.75" x14ac:dyDescent="0.25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>
        <v>1</v>
      </c>
      <c r="K8" t="str">
        <f xml:space="preserve"> IF(COUNTIF($D$2:$D776,D8)&gt;1,"duplicated","original")</f>
        <v>duplicated</v>
      </c>
      <c r="L8" s="2">
        <f>COUNTIF($D$2:$D8,D8)</f>
        <v>1</v>
      </c>
      <c r="M8" t="str">
        <f xml:space="preserve"> IF(COUNTIF($I$2:$I776,I8)&gt;1,"duplicated","original")</f>
        <v>duplicated</v>
      </c>
      <c r="N8" s="2">
        <f>COUNTIF($I$2:$I8,I8)</f>
        <v>1</v>
      </c>
      <c r="O8" s="8">
        <f t="shared" si="0"/>
        <v>4.3606885558824793</v>
      </c>
      <c r="P8" s="8">
        <f t="shared" si="1"/>
        <v>2.6879299637912952</v>
      </c>
      <c r="Q8">
        <v>0</v>
      </c>
      <c r="R8" s="9">
        <f t="shared" si="3"/>
        <v>-3.5387055505623493</v>
      </c>
      <c r="S8">
        <v>21</v>
      </c>
      <c r="T8" s="9">
        <f t="shared" si="2"/>
        <v>-2.2055817629878085</v>
      </c>
      <c r="U8" s="22">
        <f xml:space="preserve"> (1/U3)*SUM(D2:D770)</f>
        <v>69.015604681404426</v>
      </c>
      <c r="V8" s="22"/>
      <c r="W8" s="22">
        <f xml:space="preserve"> (1/W3)*SUM(I2:I770)</f>
        <v>33.224967490247074</v>
      </c>
      <c r="X8" s="10"/>
    </row>
    <row r="9" spans="1:24" ht="15.75" x14ac:dyDescent="0.25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>
        <v>0</v>
      </c>
      <c r="K9" t="str">
        <f xml:space="preserve"> IF(COUNTIF($D$2:$D763,$D$3)&gt;1,"duplicated","original")</f>
        <v>duplicated</v>
      </c>
      <c r="L9" s="2">
        <f>COUNTIF($D$2:$D9,D9)</f>
        <v>1</v>
      </c>
      <c r="M9" t="str">
        <f xml:space="preserve"> IF(COUNTIF($I$2:$I777,I9)&gt;1,"duplicated","original")</f>
        <v>duplicated</v>
      </c>
      <c r="N9" s="2">
        <f>COUNTIF($I$2:$I9,I9)</f>
        <v>1</v>
      </c>
      <c r="O9" s="8">
        <f t="shared" si="0"/>
        <v>8.3075631012592623</v>
      </c>
      <c r="P9" s="8">
        <f t="shared" si="1"/>
        <v>2.0554725710276638</v>
      </c>
      <c r="Q9">
        <v>0</v>
      </c>
      <c r="R9" s="9">
        <f t="shared" si="3"/>
        <v>-3.5387055505623493</v>
      </c>
      <c r="S9">
        <v>21</v>
      </c>
      <c r="T9" s="9">
        <f t="shared" si="2"/>
        <v>-2.0517597874984381</v>
      </c>
      <c r="U9" s="4"/>
      <c r="V9" s="4"/>
      <c r="W9" s="4"/>
    </row>
    <row r="10" spans="1:24" ht="15.75" x14ac:dyDescent="0.25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>
        <v>1</v>
      </c>
      <c r="K10" t="str">
        <f xml:space="preserve"> IF(COUNTIF($D$2:$D778,D10)&gt;1,"duplicated","original")</f>
        <v>duplicated</v>
      </c>
      <c r="L10" s="2">
        <f>COUNTIF($D$2:$D10,D10)</f>
        <v>1</v>
      </c>
      <c r="M10" t="str">
        <f xml:space="preserve"> IF(COUNTIF($I$2:$I778,I10)&gt;1,"duplicated","original")</f>
        <v>duplicated</v>
      </c>
      <c r="N10" s="2">
        <f>COUNTIF($I$2:$I10,I10)</f>
        <v>1</v>
      </c>
      <c r="O10" s="8">
        <f t="shared" si="0"/>
        <v>0.99216698120607405</v>
      </c>
      <c r="P10" s="8">
        <f t="shared" si="1"/>
        <v>4.4469126941905355</v>
      </c>
      <c r="Q10">
        <v>0</v>
      </c>
      <c r="R10" s="9">
        <f t="shared" si="3"/>
        <v>-3.5387055505623493</v>
      </c>
      <c r="S10">
        <v>21</v>
      </c>
      <c r="T10" s="9">
        <f t="shared" si="2"/>
        <v>-0.82118398358347755</v>
      </c>
      <c r="U10" s="21" t="s">
        <v>11</v>
      </c>
      <c r="V10" s="21"/>
      <c r="W10" s="21" t="s">
        <v>11</v>
      </c>
    </row>
    <row r="11" spans="1:24" ht="15.75" x14ac:dyDescent="0.25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>
        <v>1</v>
      </c>
      <c r="K11" t="str">
        <f xml:space="preserve"> IF(COUNTIF($D$2:$D779,D11)&gt;1,"duplicated","original")</f>
        <v>duplicated</v>
      </c>
      <c r="L11" s="2">
        <f>COUNTIF($D$2:$D11,D11)</f>
        <v>1</v>
      </c>
      <c r="M11" t="str">
        <f xml:space="preserve"> IF(COUNTIF($I$2:$I765,I11)&gt;1,"duplicated","original")</f>
        <v>duplicated</v>
      </c>
      <c r="N11" s="2">
        <f>COUNTIF($I$2:$I11,I11)</f>
        <v>1</v>
      </c>
      <c r="O11" s="8">
        <f t="shared" si="0"/>
        <v>5.194650644518414</v>
      </c>
      <c r="P11" s="8">
        <f t="shared" si="1"/>
        <v>4.5579636362912028</v>
      </c>
      <c r="Q11">
        <v>0</v>
      </c>
      <c r="R11" s="9">
        <f t="shared" si="3"/>
        <v>-3.5387055505623493</v>
      </c>
      <c r="S11">
        <v>21</v>
      </c>
      <c r="T11" s="9">
        <f t="shared" si="2"/>
        <v>-0.76990999175368746</v>
      </c>
      <c r="U11" s="4">
        <f xml:space="preserve"> (U3+1)/2</f>
        <v>385</v>
      </c>
      <c r="V11" s="4"/>
      <c r="W11" s="4">
        <f xml:space="preserve"> (W3+1)/2</f>
        <v>385</v>
      </c>
    </row>
    <row r="12" spans="1:24" ht="15.75" x14ac:dyDescent="0.25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>
        <v>0</v>
      </c>
      <c r="K12" t="str">
        <f xml:space="preserve"> IF(COUNTIF($D$2:$D766,$D$3)&gt;1,"duplicated","original")</f>
        <v>duplicated</v>
      </c>
      <c r="L12" s="2">
        <f>COUNTIF($D$2:$D12,D12)</f>
        <v>1</v>
      </c>
      <c r="M12" t="str">
        <f xml:space="preserve"> IF(COUNTIF($I$2:$I780,I12)&gt;1,"duplicated","original")</f>
        <v>duplicated</v>
      </c>
      <c r="N12" s="2">
        <f>COUNTIF($I$2:$I12,I12)</f>
        <v>2</v>
      </c>
      <c r="O12" s="8">
        <f t="shared" si="0"/>
        <v>4.7942043467707522</v>
      </c>
      <c r="P12" s="8">
        <f t="shared" si="1"/>
        <v>1.7958194481202931</v>
      </c>
      <c r="Q12">
        <v>0</v>
      </c>
      <c r="R12" s="9">
        <f t="shared" si="3"/>
        <v>-3.5387055505623493</v>
      </c>
      <c r="S12">
        <v>21</v>
      </c>
      <c r="T12" s="9">
        <f t="shared" si="2"/>
        <v>-2.0004857956686481</v>
      </c>
      <c r="U12" s="4"/>
      <c r="V12" s="4"/>
      <c r="W12" s="4"/>
    </row>
    <row r="13" spans="1:24" ht="15.75" x14ac:dyDescent="0.25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>
        <v>1</v>
      </c>
      <c r="K13" t="str">
        <f xml:space="preserve"> IF(COUNTIF($D$2:$D781,D13)&gt;1,"duplicated","original")</f>
        <v>duplicated</v>
      </c>
      <c r="L13" s="2">
        <f>COUNTIF($D$2:$D13,D13)</f>
        <v>2</v>
      </c>
      <c r="M13" t="str">
        <f xml:space="preserve"> IF(COUNTIF($I$2:$I781,I13)&gt;1,"duplicated","original")</f>
        <v>duplicated</v>
      </c>
      <c r="N13" s="2">
        <f>COUNTIF($I$2:$I13,I13)</f>
        <v>1</v>
      </c>
      <c r="O13" s="8">
        <f t="shared" si="0"/>
        <v>2.2325759379236296</v>
      </c>
      <c r="P13" s="8">
        <f t="shared" si="1"/>
        <v>0.88035930718822164</v>
      </c>
      <c r="Q13">
        <v>0</v>
      </c>
      <c r="R13" s="9">
        <f t="shared" si="3"/>
        <v>-3.5387055505623493</v>
      </c>
      <c r="S13">
        <v>21</v>
      </c>
      <c r="T13" s="9">
        <f t="shared" si="2"/>
        <v>-1.795389828349488</v>
      </c>
      <c r="U13" s="21" t="s">
        <v>12</v>
      </c>
      <c r="V13" s="21"/>
      <c r="W13" s="21" t="s">
        <v>13</v>
      </c>
    </row>
    <row r="14" spans="1:24" ht="15.75" x14ac:dyDescent="0.25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>
        <v>0</v>
      </c>
      <c r="K14" t="str">
        <f xml:space="preserve"> IF(COUNTIF($D$2:$D782,D14)&gt;1,"duplicated","original")</f>
        <v>duplicated</v>
      </c>
      <c r="L14" s="2">
        <f>COUNTIF($D$2:$D14,D14)</f>
        <v>1</v>
      </c>
      <c r="M14" t="str">
        <f xml:space="preserve"> IF(COUNTIF($I$2:$I782,I14)&gt;1,"duplicated","original")</f>
        <v>duplicated</v>
      </c>
      <c r="N14" s="2">
        <f>COUNTIF($I$2:$I14,I14)</f>
        <v>1</v>
      </c>
      <c r="O14" s="8">
        <f t="shared" si="0"/>
        <v>3.3142714612106796</v>
      </c>
      <c r="P14" s="8">
        <f t="shared" si="1"/>
        <v>4.8759647773289876</v>
      </c>
      <c r="Q14">
        <v>0</v>
      </c>
      <c r="R14" s="9">
        <f t="shared" si="3"/>
        <v>-3.5387055505623493</v>
      </c>
      <c r="S14">
        <v>21</v>
      </c>
      <c r="T14" s="9">
        <f t="shared" si="2"/>
        <v>-0.61608801626431742</v>
      </c>
      <c r="U14" s="4">
        <f xml:space="preserve"> INDEX(Q2:Q770,386)</f>
        <v>72</v>
      </c>
      <c r="V14" s="4"/>
      <c r="W14" s="4">
        <f xml:space="preserve"> INDEX(S2:S770,386)</f>
        <v>29</v>
      </c>
    </row>
    <row r="15" spans="1:24" ht="15.75" x14ac:dyDescent="0.25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>
        <v>1</v>
      </c>
      <c r="K15" t="str">
        <f xml:space="preserve"> IF(COUNTIF($D$2:$D769,$D$3)&gt;1,"duplicated","original")</f>
        <v>duplicated</v>
      </c>
      <c r="L15" s="2">
        <f>COUNTIF($D$2:$D15,D15)</f>
        <v>1</v>
      </c>
      <c r="M15" t="str">
        <f xml:space="preserve"> IF(COUNTIF($I$2:$I769,I15)&gt;1,"duplicated","original")</f>
        <v>duplicated</v>
      </c>
      <c r="N15" s="2">
        <f>COUNTIF($I$2:$I15,I15)</f>
        <v>1</v>
      </c>
      <c r="O15" s="8">
        <f t="shared" si="0"/>
        <v>3.002599653867366</v>
      </c>
      <c r="P15" s="8">
        <f t="shared" si="1"/>
        <v>5.0769117098638743</v>
      </c>
      <c r="Q15">
        <v>0</v>
      </c>
      <c r="R15" s="9">
        <f t="shared" si="3"/>
        <v>-3.5387055505623493</v>
      </c>
      <c r="S15">
        <v>21</v>
      </c>
      <c r="T15" s="9">
        <f t="shared" si="2"/>
        <v>-0.51354003260473735</v>
      </c>
      <c r="U15" s="3"/>
      <c r="V15" s="4"/>
      <c r="W15" s="4"/>
    </row>
    <row r="16" spans="1:24" ht="15.75" x14ac:dyDescent="0.25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>
        <v>1</v>
      </c>
      <c r="K16" t="str">
        <f xml:space="preserve"> IF(COUNTIF($D$2:$D784,D16)&gt;1,"duplicated","original")</f>
        <v>duplicated</v>
      </c>
      <c r="L16" s="2">
        <f>COUNTIF($D$2:$D16,D16)</f>
        <v>2</v>
      </c>
      <c r="M16" t="str">
        <f xml:space="preserve"> IF(COUNTIF($I$2:$I784,I16)&gt;1,"duplicated","original")</f>
        <v>duplicated</v>
      </c>
      <c r="N16" s="2">
        <f>COUNTIF($I$2:$I16,I16)</f>
        <v>1</v>
      </c>
      <c r="O16" s="8">
        <f t="shared" si="0"/>
        <v>1.7275402509335562</v>
      </c>
      <c r="P16" s="8">
        <f t="shared" si="1"/>
        <v>4.2160446522484705</v>
      </c>
      <c r="Q16">
        <v>0</v>
      </c>
      <c r="R16" s="9">
        <f t="shared" si="3"/>
        <v>-3.5387055505623493</v>
      </c>
      <c r="S16">
        <v>21</v>
      </c>
      <c r="T16" s="9">
        <f t="shared" si="2"/>
        <v>-0.92373196724305762</v>
      </c>
      <c r="U16" s="3" t="s">
        <v>26</v>
      </c>
      <c r="V16" s="21"/>
      <c r="W16" s="3" t="s">
        <v>26</v>
      </c>
    </row>
    <row r="17" spans="1:23" ht="16.5" x14ac:dyDescent="0.3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>
        <v>1</v>
      </c>
      <c r="K17" t="str">
        <f xml:space="preserve"> IF(COUNTIF($D$2:$D785,D17)&gt;1,"duplicated","original")</f>
        <v>duplicated</v>
      </c>
      <c r="L17" s="2">
        <f>COUNTIF($D$2:$D17,D17)</f>
        <v>2</v>
      </c>
      <c r="M17" t="str">
        <f xml:space="preserve"> IF(COUNTIF($I$2:$I785,I17)&gt;1,"duplicated","original")</f>
        <v>duplicated</v>
      </c>
      <c r="N17" s="2">
        <f>COUNTIF($I$2:$I17,I17)</f>
        <v>2</v>
      </c>
      <c r="O17" s="8">
        <f t="shared" si="0"/>
        <v>8.3075631012592623</v>
      </c>
      <c r="P17" s="8">
        <f t="shared" si="1"/>
        <v>1.1067824945521474</v>
      </c>
      <c r="Q17">
        <v>0</v>
      </c>
      <c r="R17" s="9">
        <f t="shared" si="3"/>
        <v>-3.5387055505623493</v>
      </c>
      <c r="S17">
        <v>21</v>
      </c>
      <c r="T17" s="9">
        <f t="shared" si="2"/>
        <v>-1.8979378120090682</v>
      </c>
      <c r="U17" s="23">
        <f xml:space="preserve"> MEDIAN(Q2:Q770)</f>
        <v>72</v>
      </c>
      <c r="V17" s="4"/>
      <c r="W17" s="23">
        <f xml:space="preserve"> MEDIAN(S2:S770)</f>
        <v>29</v>
      </c>
    </row>
    <row r="18" spans="1:23" ht="15.75" x14ac:dyDescent="0.25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>
        <v>1</v>
      </c>
      <c r="K18" t="str">
        <f xml:space="preserve"> IF(COUNTIF($D$2:$D772,$D$3)&gt;1,"duplicated","original")</f>
        <v>duplicated</v>
      </c>
      <c r="L18" s="2">
        <f>COUNTIF($D$2:$D18,D18)</f>
        <v>1</v>
      </c>
      <c r="M18" t="str">
        <f xml:space="preserve"> IF(COUNTIF($I$2:$I786,I18)&gt;1,"duplicated","original")</f>
        <v>duplicated</v>
      </c>
      <c r="N18" s="2">
        <f>COUNTIF($I$2:$I18,I18)</f>
        <v>2</v>
      </c>
      <c r="O18" s="8">
        <f t="shared" si="0"/>
        <v>3.8709682662863014</v>
      </c>
      <c r="P18" s="8">
        <f t="shared" si="1"/>
        <v>1.4916324916838848</v>
      </c>
      <c r="Q18">
        <v>0</v>
      </c>
      <c r="R18" s="9">
        <f t="shared" si="3"/>
        <v>-3.5387055505623493</v>
      </c>
      <c r="S18">
        <v>21</v>
      </c>
      <c r="T18" s="9">
        <f t="shared" si="2"/>
        <v>-1.9492118038388582</v>
      </c>
      <c r="U18" s="3"/>
      <c r="V18" s="4"/>
      <c r="W18" s="3"/>
    </row>
    <row r="19" spans="1:23" ht="15.75" x14ac:dyDescent="0.25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>
        <v>1</v>
      </c>
      <c r="K19" t="str">
        <f xml:space="preserve"> IF(COUNTIF($D$2:$D787,D19)&gt;1,"duplicated","original")</f>
        <v>duplicated</v>
      </c>
      <c r="L19" s="2">
        <f>COUNTIF($D$2:$D19,D19)</f>
        <v>3</v>
      </c>
      <c r="M19" t="str">
        <f xml:space="preserve"> IF(COUNTIF($I$2:$I773,I19)&gt;1,"duplicated","original")</f>
        <v>duplicated</v>
      </c>
      <c r="N19" s="2">
        <f>COUNTIF($I$2:$I19,I19)</f>
        <v>3</v>
      </c>
      <c r="O19" s="8">
        <f t="shared" si="0"/>
        <v>2.2325759379236296</v>
      </c>
      <c r="P19" s="8">
        <f t="shared" si="1"/>
        <v>1.4916324916838848</v>
      </c>
      <c r="Q19">
        <v>0</v>
      </c>
      <c r="R19" s="9">
        <f t="shared" si="3"/>
        <v>-3.5387055505623493</v>
      </c>
      <c r="S19">
        <v>21</v>
      </c>
      <c r="T19" s="9">
        <f t="shared" si="2"/>
        <v>-1.9492118038388582</v>
      </c>
      <c r="U19" s="21" t="s">
        <v>16</v>
      </c>
      <c r="V19" s="4"/>
      <c r="W19" s="21" t="s">
        <v>16</v>
      </c>
    </row>
    <row r="20" spans="1:23" ht="15.75" x14ac:dyDescent="0.25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>
        <v>0</v>
      </c>
      <c r="K20" t="str">
        <f xml:space="preserve"> IF(COUNTIF($D$2:$D788,D20)&gt;1,"duplicated","original")</f>
        <v>duplicated</v>
      </c>
      <c r="L20" s="2">
        <f>COUNTIF($D$2:$D20,D20)</f>
        <v>1</v>
      </c>
      <c r="M20" t="str">
        <f xml:space="preserve"> IF(COUNTIF($I$2:$I788,I20)&gt;1,"duplicated","original")</f>
        <v>duplicated</v>
      </c>
      <c r="N20" s="2">
        <f>COUNTIF($I$2:$I20,I20)</f>
        <v>2</v>
      </c>
      <c r="O20" s="8">
        <f t="shared" si="0"/>
        <v>6.246247247860464</v>
      </c>
      <c r="P20" s="8">
        <f t="shared" si="1"/>
        <v>0.47430737949885876</v>
      </c>
      <c r="Q20">
        <v>0</v>
      </c>
      <c r="R20" s="9">
        <f t="shared" si="3"/>
        <v>-3.5387055505623493</v>
      </c>
      <c r="S20">
        <v>21</v>
      </c>
      <c r="T20" s="9">
        <f t="shared" si="2"/>
        <v>-1.8466638201792782</v>
      </c>
      <c r="U20" s="24">
        <f xml:space="preserve"> _xlfn.MODE.SNGL(Q2:Q770)</f>
        <v>70</v>
      </c>
      <c r="V20" s="4"/>
      <c r="W20" s="24">
        <f xml:space="preserve"> _xlfn.MODE.SNGL(S2:S770)</f>
        <v>22</v>
      </c>
    </row>
    <row r="21" spans="1:23" ht="15.75" x14ac:dyDescent="0.25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>
        <v>1</v>
      </c>
      <c r="K21" t="str">
        <f xml:space="preserve"> IF(COUNTIF($D$2:$D775,$D$3)&gt;1,"duplicated","original")</f>
        <v>duplicated</v>
      </c>
      <c r="L21" s="2">
        <f>COUNTIF($D$2:$D21,D21)</f>
        <v>2</v>
      </c>
      <c r="M21" t="str">
        <f xml:space="preserve"> IF(COUNTIF($I$2:$I789,I21)&gt;1,"duplicated","original")</f>
        <v>duplicated</v>
      </c>
      <c r="N21" s="2">
        <f>COUNTIF($I$2:$I21,I21)</f>
        <v>3</v>
      </c>
      <c r="O21" s="8">
        <f t="shared" si="0"/>
        <v>0.99216698120607405</v>
      </c>
      <c r="P21" s="8">
        <f t="shared" si="1"/>
        <v>1.1067824945521474</v>
      </c>
      <c r="Q21">
        <v>0</v>
      </c>
      <c r="R21" s="9">
        <f t="shared" si="3"/>
        <v>-3.5387055505623493</v>
      </c>
      <c r="S21">
        <v>21</v>
      </c>
      <c r="T21" s="9">
        <f t="shared" si="2"/>
        <v>-1.8979378120090682</v>
      </c>
      <c r="U21" s="25"/>
      <c r="V21" s="4"/>
      <c r="W21" s="25"/>
    </row>
    <row r="22" spans="1:23" ht="15.75" x14ac:dyDescent="0.25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>
        <v>0</v>
      </c>
      <c r="K22" t="str">
        <f xml:space="preserve"> IF(COUNTIF($D$2:$D790,D22)&gt;1,"duplicated","original")</f>
        <v>duplicated</v>
      </c>
      <c r="L22" s="2">
        <f>COUNTIF($D$2:$D22,D22)</f>
        <v>1</v>
      </c>
      <c r="M22" t="str">
        <f xml:space="preserve"> IF(COUNTIF($I$2:$I790,I22)&gt;1,"duplicated","original")</f>
        <v>duplicated</v>
      </c>
      <c r="N22" s="2">
        <f>COUNTIF($I$2:$I22,I22)</f>
        <v>1</v>
      </c>
      <c r="O22" s="8">
        <f t="shared" si="0"/>
        <v>4.3571085961444176</v>
      </c>
      <c r="P22" s="8">
        <f t="shared" si="1"/>
        <v>2.4949884749727951</v>
      </c>
      <c r="Q22">
        <v>0</v>
      </c>
      <c r="R22" s="9">
        <f t="shared" si="3"/>
        <v>-3.5387055505623493</v>
      </c>
      <c r="S22">
        <v>21</v>
      </c>
      <c r="T22" s="9">
        <f t="shared" si="2"/>
        <v>-2.1543077711580185</v>
      </c>
      <c r="U22" s="4" t="s">
        <v>22</v>
      </c>
      <c r="V22" s="4"/>
      <c r="W22" s="4" t="s">
        <v>22</v>
      </c>
    </row>
    <row r="23" spans="1:23" ht="16.5" x14ac:dyDescent="0.3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>
        <v>0</v>
      </c>
      <c r="K23" t="str">
        <f xml:space="preserve"> IF(COUNTIF($D$2:$D791,D23)&gt;1,"duplicated","original")</f>
        <v>duplicated</v>
      </c>
      <c r="L23" s="2">
        <f>COUNTIF($D$2:$D23,D23)</f>
        <v>2</v>
      </c>
      <c r="M23" t="str">
        <f xml:space="preserve"> IF(COUNTIF($I$2:$I777,I23)&gt;1,"duplicated","original")</f>
        <v>duplicated</v>
      </c>
      <c r="N23" s="2">
        <f>COUNTIF($I$2:$I23,I23)</f>
        <v>2</v>
      </c>
      <c r="O23" s="8">
        <f t="shared" si="0"/>
        <v>3.8709682662863014</v>
      </c>
      <c r="P23" s="8">
        <f t="shared" si="1"/>
        <v>4.095733451990367</v>
      </c>
      <c r="Q23">
        <v>0</v>
      </c>
      <c r="R23" s="9">
        <f t="shared" si="3"/>
        <v>-3.5387055505623493</v>
      </c>
      <c r="S23">
        <v>21</v>
      </c>
      <c r="T23" s="9">
        <f t="shared" si="2"/>
        <v>-0.97500595907284759</v>
      </c>
      <c r="U23" s="26">
        <f>VAR(D2:D770)</f>
        <v>380.36954784351957</v>
      </c>
      <c r="V23" s="4"/>
      <c r="W23" s="26">
        <f>VAR(I2:I770)</f>
        <v>138.31781331274382</v>
      </c>
    </row>
    <row r="24" spans="1:23" ht="15.75" x14ac:dyDescent="0.25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>
        <v>1</v>
      </c>
      <c r="K24" t="str">
        <f xml:space="preserve"> IF(COUNTIF($D$2:$D778,$D$3)&gt;1,"duplicated","original")</f>
        <v>duplicated</v>
      </c>
      <c r="L24" s="2">
        <f>COUNTIF($D$2:$D24,D24)</f>
        <v>1</v>
      </c>
      <c r="M24" t="str">
        <f xml:space="preserve"> IF(COUNTIF($I$2:$I792,I24)&gt;1,"duplicated","original")</f>
        <v>duplicated</v>
      </c>
      <c r="N24" s="2">
        <f>COUNTIF($I$2:$I24,I24)</f>
        <v>1</v>
      </c>
      <c r="O24" s="8">
        <f t="shared" si="0"/>
        <v>4.5808727682173815</v>
      </c>
      <c r="P24" s="8">
        <f t="shared" si="1"/>
        <v>2.7883745282427403</v>
      </c>
      <c r="Q24">
        <v>0</v>
      </c>
      <c r="R24" s="9">
        <f t="shared" si="3"/>
        <v>-3.5387055505623493</v>
      </c>
      <c r="S24">
        <v>21</v>
      </c>
      <c r="T24" s="9">
        <f t="shared" si="2"/>
        <v>-1.4364718855409579</v>
      </c>
      <c r="U24" s="4"/>
      <c r="V24" s="4"/>
      <c r="W24" s="4"/>
    </row>
    <row r="25" spans="1:23" ht="15.75" x14ac:dyDescent="0.25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>
        <v>1</v>
      </c>
      <c r="K25" t="str">
        <f xml:space="preserve"> IF(COUNTIF($D$2:$D793,D25)&gt;1,"duplicated","original")</f>
        <v>duplicated</v>
      </c>
      <c r="L25" s="2">
        <f>COUNTIF($D$2:$D25,D25)</f>
        <v>2</v>
      </c>
      <c r="M25" t="str">
        <f xml:space="preserve"> IF(COUNTIF($I$2:$I793,I25)&gt;1,"duplicated","original")</f>
        <v>duplicated</v>
      </c>
      <c r="N25" s="2">
        <f>COUNTIF($I$2:$I25,I25)</f>
        <v>2</v>
      </c>
      <c r="O25" s="8">
        <f t="shared" si="0"/>
        <v>3.3142714612106796</v>
      </c>
      <c r="P25" s="8">
        <f t="shared" si="1"/>
        <v>2.0554725710276638</v>
      </c>
      <c r="Q25">
        <v>0</v>
      </c>
      <c r="R25" s="9">
        <f t="shared" si="3"/>
        <v>-3.5387055505623493</v>
      </c>
      <c r="S25">
        <v>21</v>
      </c>
      <c r="T25" s="9">
        <f t="shared" si="2"/>
        <v>-2.0517597874984381</v>
      </c>
      <c r="U25" s="12" t="s">
        <v>25</v>
      </c>
      <c r="V25" s="4"/>
      <c r="W25" s="12" t="s">
        <v>25</v>
      </c>
    </row>
    <row r="26" spans="1:23" x14ac:dyDescent="0.25">
      <c r="A26">
        <v>25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>
        <v>1</v>
      </c>
      <c r="K26" t="str">
        <f xml:space="preserve"> IF(COUNTIF($D$2:$D794,D26)&gt;1,"duplicated","original")</f>
        <v>duplicated</v>
      </c>
      <c r="L26" s="2">
        <f>COUNTIF($D$2:$D26,D26)</f>
        <v>1</v>
      </c>
      <c r="M26" t="str">
        <f xml:space="preserve"> IF(COUNTIF($I$2:$I794,I26)&gt;1,"duplicated","original")</f>
        <v>duplicated</v>
      </c>
      <c r="N26" s="2">
        <f>COUNTIF($I$2:$I26,I26)</f>
        <v>2</v>
      </c>
      <c r="O26" s="8">
        <f t="shared" si="0"/>
        <v>4.9984392882774493</v>
      </c>
      <c r="P26" s="8">
        <f t="shared" si="1"/>
        <v>4.2160446522484705</v>
      </c>
      <c r="Q26">
        <v>0</v>
      </c>
      <c r="R26" s="9">
        <f t="shared" si="3"/>
        <v>-3.5387055505623493</v>
      </c>
      <c r="S26">
        <v>21</v>
      </c>
      <c r="T26" s="9">
        <f t="shared" si="2"/>
        <v>-0.92373196724305762</v>
      </c>
      <c r="U26" s="27">
        <f>STDEV(D2:D770)</f>
        <v>19.503065088429551</v>
      </c>
      <c r="V26" s="3"/>
      <c r="W26" s="27">
        <f>STDEV(I2:I770)</f>
        <v>11.760859378155315</v>
      </c>
    </row>
    <row r="27" spans="1:23" x14ac:dyDescent="0.25">
      <c r="A27">
        <v>26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>
        <v>1</v>
      </c>
      <c r="K27" t="str">
        <f xml:space="preserve"> IF(COUNTIF($D$2:$D781,$D$3)&gt;1,"duplicated","original")</f>
        <v>duplicated</v>
      </c>
      <c r="L27" s="2">
        <f>COUNTIF($D$2:$D27,D27)</f>
        <v>3</v>
      </c>
      <c r="M27" t="str">
        <f xml:space="preserve"> IF(COUNTIF($I$2:$I781,I27)&gt;1,"duplicated","original")</f>
        <v>duplicated</v>
      </c>
      <c r="N27" s="2">
        <f>COUNTIF($I$2:$I27,I27)</f>
        <v>2</v>
      </c>
      <c r="O27" s="8">
        <f t="shared" si="0"/>
        <v>0.99216698120607405</v>
      </c>
      <c r="P27" s="8">
        <f t="shared" si="1"/>
        <v>2.7883745282427403</v>
      </c>
      <c r="Q27">
        <v>0</v>
      </c>
      <c r="R27" s="9">
        <f t="shared" si="3"/>
        <v>-3.5387055505623493</v>
      </c>
      <c r="S27">
        <v>21</v>
      </c>
      <c r="T27" s="9">
        <f t="shared" si="2"/>
        <v>-1.4364718855409579</v>
      </c>
      <c r="U27" s="3"/>
      <c r="V27" s="3"/>
      <c r="W27" s="3"/>
    </row>
    <row r="28" spans="1:23" ht="15.75" x14ac:dyDescent="0.25">
      <c r="A28">
        <v>27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>
        <v>1</v>
      </c>
      <c r="K28" t="str">
        <f xml:space="preserve"> IF(COUNTIF($D$2:$D796,D28)&gt;1,"duplicated","original")</f>
        <v>duplicated</v>
      </c>
      <c r="L28" s="2">
        <f>COUNTIF($D$2:$D28,D28)</f>
        <v>1</v>
      </c>
      <c r="M28" t="str">
        <f xml:space="preserve"> IF(COUNTIF($I$2:$I796,I28)&gt;1,"duplicated","original")</f>
        <v>duplicated</v>
      </c>
      <c r="N28" s="2">
        <f>COUNTIF($I$2:$I28,I28)</f>
        <v>1</v>
      </c>
      <c r="O28" s="8">
        <f t="shared" si="0"/>
        <v>2.642800658126824</v>
      </c>
      <c r="P28" s="8">
        <f t="shared" si="1"/>
        <v>3.1265048392338888</v>
      </c>
      <c r="Q28">
        <v>0</v>
      </c>
      <c r="R28" s="9">
        <f t="shared" si="3"/>
        <v>-3.5387055505623493</v>
      </c>
      <c r="S28">
        <v>21</v>
      </c>
      <c r="T28" s="9">
        <f t="shared" si="2"/>
        <v>-1.3339239018813778</v>
      </c>
      <c r="U28" s="12" t="s">
        <v>36</v>
      </c>
      <c r="V28" s="3"/>
      <c r="W28" s="12" t="s">
        <v>36</v>
      </c>
    </row>
    <row r="29" spans="1:23" x14ac:dyDescent="0.25">
      <c r="A29">
        <v>28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>
        <v>0</v>
      </c>
      <c r="K29" t="str">
        <f xml:space="preserve"> IF(COUNTIF($D$2:$D797,D29)&gt;1,"duplicated","original")</f>
        <v>duplicated</v>
      </c>
      <c r="L29" s="2">
        <f>COUNTIF($D$2:$D29,D29)</f>
        <v>3</v>
      </c>
      <c r="M29" t="str">
        <f xml:space="preserve"> IF(COUNTIF($I$2:$I797,I29)&gt;1,"duplicated","original")</f>
        <v>duplicated</v>
      </c>
      <c r="N29" s="2">
        <f>COUNTIF($I$2:$I29,I29)</f>
        <v>1</v>
      </c>
      <c r="O29" s="8">
        <f t="shared" si="0"/>
        <v>1.7365496484133203</v>
      </c>
      <c r="P29" s="8">
        <f t="shared" si="1"/>
        <v>3.3503682618851132</v>
      </c>
      <c r="Q29">
        <v>0</v>
      </c>
      <c r="R29" s="9">
        <f t="shared" si="3"/>
        <v>-3.5387055505623493</v>
      </c>
      <c r="S29">
        <v>21</v>
      </c>
      <c r="T29" s="9">
        <f t="shared" si="2"/>
        <v>-2.4106777303069684</v>
      </c>
      <c r="U29" s="27">
        <f>STDEVA(D2:D770)</f>
        <v>19.503065088429551</v>
      </c>
      <c r="V29" s="3"/>
      <c r="W29" s="27">
        <f>STDEVA(I2:I770)</f>
        <v>11.760859378155315</v>
      </c>
    </row>
    <row r="30" spans="1:23" x14ac:dyDescent="0.25">
      <c r="A30">
        <v>29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>
        <v>0</v>
      </c>
      <c r="K30" t="str">
        <f xml:space="preserve"> IF(COUNTIF($D$2:$D784,$D$3)&gt;1,"duplicated","original")</f>
        <v>duplicated</v>
      </c>
      <c r="L30" s="2">
        <f>COUNTIF($D$2:$D30,D30)</f>
        <v>1</v>
      </c>
      <c r="M30" t="str">
        <f xml:space="preserve"> IF(COUNTIF($I$2:$I798,I30)&gt;1,"duplicated","original")</f>
        <v>duplicated</v>
      </c>
      <c r="N30" s="2">
        <f>COUNTIF($I$2:$I30,I30)</f>
        <v>2</v>
      </c>
      <c r="O30" s="8">
        <f t="shared" si="0"/>
        <v>3.6033866457258754</v>
      </c>
      <c r="P30" s="8">
        <f t="shared" si="1"/>
        <v>4.8759647773289876</v>
      </c>
      <c r="Q30">
        <v>0</v>
      </c>
      <c r="R30" s="9">
        <f t="shared" si="3"/>
        <v>-3.5387055505623493</v>
      </c>
      <c r="S30">
        <v>21</v>
      </c>
      <c r="T30" s="9">
        <f t="shared" si="2"/>
        <v>-0.61608801626431742</v>
      </c>
      <c r="U30" s="3"/>
      <c r="V30" s="3"/>
      <c r="W30" s="3"/>
    </row>
    <row r="31" spans="1:23" x14ac:dyDescent="0.25">
      <c r="A31">
        <v>30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>
        <v>0</v>
      </c>
      <c r="K31" t="str">
        <f xml:space="preserve"> IF(COUNTIF($D$2:$D799,D31)&gt;1,"duplicated","original")</f>
        <v>duplicated</v>
      </c>
      <c r="L31" s="2">
        <f>COUNTIF($D$2:$D31,D31)</f>
        <v>2</v>
      </c>
      <c r="M31" t="str">
        <f xml:space="preserve"> IF(COUNTIF($I$2:$I785,I31)&gt;1,"duplicated","original")</f>
        <v>duplicated</v>
      </c>
      <c r="N31" s="2">
        <f>COUNTIF($I$2:$I31,I31)</f>
        <v>1</v>
      </c>
      <c r="O31" s="8">
        <f t="shared" si="0"/>
        <v>4.7942043467707522</v>
      </c>
      <c r="P31" s="8">
        <f t="shared" si="1"/>
        <v>2.1851847770275459</v>
      </c>
      <c r="Q31">
        <v>0</v>
      </c>
      <c r="R31" s="9">
        <f t="shared" si="3"/>
        <v>-3.5387055505623493</v>
      </c>
      <c r="S31">
        <v>21</v>
      </c>
      <c r="T31" s="9">
        <f t="shared" si="2"/>
        <v>-1.5902938610303279</v>
      </c>
      <c r="U31" s="3" t="s">
        <v>37</v>
      </c>
      <c r="V31" s="3"/>
      <c r="W31" s="3" t="s">
        <v>37</v>
      </c>
    </row>
    <row r="32" spans="1:23" x14ac:dyDescent="0.25">
      <c r="A32">
        <v>31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>
        <v>0</v>
      </c>
      <c r="K32" t="str">
        <f xml:space="preserve"> IF(COUNTIF($D$2:$D800,D32)&gt;1,"duplicated","original")</f>
        <v>duplicated</v>
      </c>
      <c r="L32" s="2">
        <f>COUNTIF($D$2:$D32,D32)</f>
        <v>1</v>
      </c>
      <c r="M32" t="str">
        <f xml:space="preserve"> IF(COUNTIF($I$2:$I800,I32)&gt;1,"duplicated","original")</f>
        <v>duplicated</v>
      </c>
      <c r="N32" s="2">
        <f>COUNTIF($I$2:$I32,I32)</f>
        <v>1</v>
      </c>
      <c r="O32" s="8">
        <f t="shared" si="0"/>
        <v>2.4463023767710266</v>
      </c>
      <c r="P32" s="8">
        <f t="shared" si="1"/>
        <v>5.1744596345660021</v>
      </c>
      <c r="Q32">
        <v>0</v>
      </c>
      <c r="R32" s="9">
        <f t="shared" si="3"/>
        <v>-3.5387055505623493</v>
      </c>
      <c r="S32">
        <v>21</v>
      </c>
      <c r="T32" s="9">
        <f t="shared" si="2"/>
        <v>-0.46226604077494732</v>
      </c>
      <c r="U32" s="3">
        <f xml:space="preserve"> U8  + (U29/U3)</f>
        <v>69.040966274497308</v>
      </c>
      <c r="V32" s="3"/>
      <c r="W32" s="3">
        <f xml:space="preserve"> W8  + (W29/W3)</f>
        <v>33.240261195550268</v>
      </c>
    </row>
    <row r="33" spans="1:23" x14ac:dyDescent="0.25">
      <c r="A33">
        <v>32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>
        <v>1</v>
      </c>
      <c r="K33" t="str">
        <f xml:space="preserve"> IF(COUNTIF($D$2:$D787,$D$3)&gt;1,"duplicated","original")</f>
        <v>duplicated</v>
      </c>
      <c r="L33" s="2">
        <f>COUNTIF($D$2:$D33,D33)</f>
        <v>2</v>
      </c>
      <c r="M33" t="str">
        <f xml:space="preserve"> IF(COUNTIF($I$2:$I801,I33)&gt;1,"duplicated","original")</f>
        <v>duplicated</v>
      </c>
      <c r="N33" s="2">
        <f>COUNTIF($I$2:$I33,I33)</f>
        <v>1</v>
      </c>
      <c r="O33" s="8">
        <f t="shared" si="0"/>
        <v>2.642800658126824</v>
      </c>
      <c r="P33" s="8">
        <f t="shared" si="1"/>
        <v>2.2858187789601945</v>
      </c>
      <c r="Q33">
        <v>0</v>
      </c>
      <c r="R33" s="9">
        <f t="shared" si="3"/>
        <v>-3.5387055505623493</v>
      </c>
      <c r="S33">
        <v>21</v>
      </c>
      <c r="T33" s="9">
        <f t="shared" si="2"/>
        <v>-2.1030337793282281</v>
      </c>
      <c r="U33" s="3"/>
      <c r="V33" s="3"/>
      <c r="W33" s="3"/>
    </row>
    <row r="34" spans="1:23" x14ac:dyDescent="0.25">
      <c r="A34">
        <v>33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>
        <v>0</v>
      </c>
      <c r="K34" t="str">
        <f xml:space="preserve"> IF(COUNTIF($D$2:$D802,D34)&gt;1,"duplicated","original")</f>
        <v>duplicated</v>
      </c>
      <c r="L34" s="2">
        <f>COUNTIF($D$2:$D34,D34)</f>
        <v>1</v>
      </c>
      <c r="M34" t="str">
        <f xml:space="preserve"> IF(COUNTIF($I$2:$I802,I34)&gt;1,"duplicated","original")</f>
        <v>duplicated</v>
      </c>
      <c r="N34" s="2">
        <f>COUNTIF($I$2:$I34,I34)</f>
        <v>2</v>
      </c>
      <c r="O34" s="8">
        <f t="shared" si="0"/>
        <v>3.3189764508662045</v>
      </c>
      <c r="P34" s="8">
        <f t="shared" si="1"/>
        <v>3.3503682618851132</v>
      </c>
      <c r="Q34">
        <v>0</v>
      </c>
      <c r="R34" s="9">
        <f t="shared" si="3"/>
        <v>-3.5387055505623493</v>
      </c>
      <c r="S34">
        <v>21</v>
      </c>
      <c r="T34" s="9">
        <f t="shared" si="2"/>
        <v>-2.4106777303069684</v>
      </c>
      <c r="U34" s="3" t="s">
        <v>49</v>
      </c>
      <c r="V34" s="3"/>
      <c r="W34" s="3" t="s">
        <v>49</v>
      </c>
    </row>
    <row r="35" spans="1:23" x14ac:dyDescent="0.25">
      <c r="A35">
        <v>34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>
        <v>0</v>
      </c>
      <c r="K35" t="str">
        <f xml:space="preserve"> IF(COUNTIF($D$2:$D803,D35)&gt;1,"duplicated","original")</f>
        <v>duplicated</v>
      </c>
      <c r="L35" s="2">
        <f>COUNTIF($D$2:$D35,D35)</f>
        <v>3</v>
      </c>
      <c r="M35" t="str">
        <f xml:space="preserve"> IF(COUNTIF($I$2:$I789,I35)&gt;1,"duplicated","original")</f>
        <v>duplicated</v>
      </c>
      <c r="N35" s="2">
        <f>COUNTIF($I$2:$I35,I35)</f>
        <v>2</v>
      </c>
      <c r="O35" s="8">
        <f t="shared" si="0"/>
        <v>4.7942043467707522</v>
      </c>
      <c r="P35" s="8">
        <f t="shared" si="1"/>
        <v>2.2858187789601945</v>
      </c>
      <c r="Q35">
        <v>0</v>
      </c>
      <c r="R35" s="9">
        <f t="shared" si="3"/>
        <v>-3.5387055505623493</v>
      </c>
      <c r="S35">
        <v>21</v>
      </c>
      <c r="T35" s="9">
        <f t="shared" si="2"/>
        <v>-2.1030337793282281</v>
      </c>
      <c r="U35" s="3">
        <f>MAX(D:D)</f>
        <v>122</v>
      </c>
      <c r="V35" s="3"/>
      <c r="W35" s="3">
        <f>MAX(I:I)</f>
        <v>81</v>
      </c>
    </row>
    <row r="36" spans="1:23" x14ac:dyDescent="0.25">
      <c r="A36">
        <v>35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>
        <v>0</v>
      </c>
      <c r="K36" t="str">
        <f xml:space="preserve"> IF(COUNTIF($D$2:$D790,$D$3)&gt;1,"duplicated","original")</f>
        <v>duplicated</v>
      </c>
      <c r="L36" s="2">
        <f>COUNTIF($D$2:$D36,D36)</f>
        <v>1</v>
      </c>
      <c r="M36" t="str">
        <f xml:space="preserve"> IF(COUNTIF($I$2:$I804,I36)&gt;1,"duplicated","original")</f>
        <v>duplicated</v>
      </c>
      <c r="N36" s="2">
        <f>COUNTIF($I$2:$I36,I36)</f>
        <v>1</v>
      </c>
      <c r="O36" s="8">
        <f t="shared" si="0"/>
        <v>2.9973980914445737</v>
      </c>
      <c r="P36" s="8">
        <f t="shared" si="1"/>
        <v>3.4314767243495803</v>
      </c>
      <c r="Q36">
        <v>0</v>
      </c>
      <c r="R36" s="9">
        <f t="shared" si="3"/>
        <v>-3.5387055505623493</v>
      </c>
      <c r="S36">
        <v>21</v>
      </c>
      <c r="T36" s="9">
        <f t="shared" si="2"/>
        <v>-1.2313759182217978</v>
      </c>
      <c r="U36" s="3"/>
      <c r="V36" s="3"/>
      <c r="W36" s="3"/>
    </row>
    <row r="37" spans="1:23" x14ac:dyDescent="0.25">
      <c r="A37">
        <v>36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>
        <v>0</v>
      </c>
      <c r="K37" t="str">
        <f xml:space="preserve"> IF(COUNTIF($D$2:$D805,D37)&gt;1,"duplicated","original")</f>
        <v>duplicated</v>
      </c>
      <c r="L37" s="2">
        <f>COUNTIF($D$2:$D37,D37)</f>
        <v>2</v>
      </c>
      <c r="M37" t="str">
        <f xml:space="preserve"> IF(COUNTIF($I$2:$I805,I37)&gt;1,"duplicated","original")</f>
        <v>duplicated</v>
      </c>
      <c r="N37" s="2">
        <f>COUNTIF($I$2:$I37,I37)</f>
        <v>3</v>
      </c>
      <c r="O37" s="8">
        <f t="shared" si="0"/>
        <v>3.002599653867366</v>
      </c>
      <c r="P37" s="8">
        <f t="shared" si="1"/>
        <v>0.47430737949885876</v>
      </c>
      <c r="Q37">
        <f>MIN(Q1:Q36)</f>
        <v>0</v>
      </c>
      <c r="R37" s="9">
        <f t="shared" si="3"/>
        <v>-3.5387055505623493</v>
      </c>
      <c r="S37">
        <v>21</v>
      </c>
      <c r="T37" s="9">
        <f t="shared" si="2"/>
        <v>-1.8466638201792782</v>
      </c>
      <c r="U37" s="3" t="s">
        <v>50</v>
      </c>
      <c r="V37" s="3"/>
      <c r="W37" s="3" t="s">
        <v>50</v>
      </c>
    </row>
    <row r="38" spans="1:23" x14ac:dyDescent="0.25">
      <c r="A38">
        <v>37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>
        <v>0</v>
      </c>
      <c r="K38" t="str">
        <f xml:space="preserve"> IF(COUNTIF($D$2:$D806,D38)&gt;1,"duplicated","original")</f>
        <v>duplicated</v>
      </c>
      <c r="L38" s="2">
        <f>COUNTIF($D$2:$D38,D38)</f>
        <v>3</v>
      </c>
      <c r="M38" t="str">
        <f xml:space="preserve"> IF(COUNTIF($I$2:$I806,I38)&gt;1,"duplicated","original")</f>
        <v>duplicated</v>
      </c>
      <c r="N38" s="2">
        <f>COUNTIF($I$2:$I38,I38)</f>
        <v>1</v>
      </c>
      <c r="O38" s="8">
        <f t="shared" si="0"/>
        <v>2.642800658126824</v>
      </c>
      <c r="P38" s="8">
        <f t="shared" si="1"/>
        <v>1.332303460084423</v>
      </c>
      <c r="Q38">
        <v>24</v>
      </c>
      <c r="R38" s="9">
        <f t="shared" si="3"/>
        <v>-2.3081297466473885</v>
      </c>
      <c r="S38">
        <v>21</v>
      </c>
      <c r="T38" s="9">
        <f t="shared" si="2"/>
        <v>-1.744115836519698</v>
      </c>
      <c r="U38" s="3">
        <f xml:space="preserve"> MIN(D:D)</f>
        <v>0</v>
      </c>
      <c r="V38" s="3"/>
      <c r="W38" s="3">
        <f xml:space="preserve"> MIN(I:I)</f>
        <v>21</v>
      </c>
    </row>
    <row r="39" spans="1:23" x14ac:dyDescent="0.25">
      <c r="A39">
        <v>38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>
        <v>1</v>
      </c>
      <c r="K39" t="str">
        <f xml:space="preserve"> IF(COUNTIF($D$2:$D793,$D$3)&gt;1,"duplicated","original")</f>
        <v>duplicated</v>
      </c>
      <c r="L39" s="2">
        <f>COUNTIF($D$2:$D39,D39)</f>
        <v>4</v>
      </c>
      <c r="M39" t="str">
        <f xml:space="preserve"> IF(COUNTIF($I$2:$I793,I39)&gt;1,"duplicated","original")</f>
        <v>duplicated</v>
      </c>
      <c r="N39" s="2">
        <f>COUNTIF($I$2:$I39,I39)</f>
        <v>1</v>
      </c>
      <c r="O39" s="8">
        <f t="shared" si="0"/>
        <v>2.642800658126824</v>
      </c>
      <c r="P39" s="8">
        <f t="shared" si="1"/>
        <v>3.5742177479489028</v>
      </c>
      <c r="Q39">
        <v>30</v>
      </c>
      <c r="R39" s="9">
        <f t="shared" si="3"/>
        <v>-2.0004857956686481</v>
      </c>
      <c r="S39">
        <v>21</v>
      </c>
      <c r="T39" s="9">
        <f t="shared" si="2"/>
        <v>-1.1801019263920078</v>
      </c>
      <c r="U39" s="3"/>
      <c r="V39" s="3"/>
      <c r="W39" s="3"/>
    </row>
    <row r="40" spans="1:23" x14ac:dyDescent="0.25">
      <c r="A40">
        <v>39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>
        <v>1</v>
      </c>
      <c r="K40" t="str">
        <f xml:space="preserve"> IF(COUNTIF($D$2:$D808,D40)&gt;1,"duplicated","original")</f>
        <v>duplicated</v>
      </c>
      <c r="L40" s="2">
        <f>COUNTIF($D$2:$D40,D40)</f>
        <v>1</v>
      </c>
      <c r="M40" t="str">
        <f xml:space="preserve"> IF(COUNTIF($I$2:$I808,I40)&gt;1,"duplicated","original")</f>
        <v>duplicated</v>
      </c>
      <c r="N40" s="2">
        <f>COUNTIF($I$2:$I40,I40)</f>
        <v>2</v>
      </c>
      <c r="O40" s="8">
        <f t="shared" si="0"/>
        <v>1.0077721376404618</v>
      </c>
      <c r="P40" s="8">
        <f t="shared" si="1"/>
        <v>2.4949884749727951</v>
      </c>
      <c r="Q40">
        <v>30</v>
      </c>
      <c r="R40" s="9">
        <f t="shared" si="3"/>
        <v>-2.0004857956686481</v>
      </c>
      <c r="S40">
        <v>21</v>
      </c>
      <c r="T40" s="9">
        <f t="shared" si="2"/>
        <v>-2.1543077711580185</v>
      </c>
      <c r="U40" s="3" t="s">
        <v>27</v>
      </c>
      <c r="V40" s="3"/>
      <c r="W40" s="3" t="s">
        <v>27</v>
      </c>
    </row>
    <row r="41" spans="1:23" x14ac:dyDescent="0.25">
      <c r="A41">
        <v>40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>
        <v>1</v>
      </c>
      <c r="K41" t="str">
        <f xml:space="preserve"> IF(COUNTIF($D$2:$D809,D41)&gt;1,"duplicated","original")</f>
        <v>duplicated</v>
      </c>
      <c r="L41" s="2">
        <f>COUNTIF($D$2:$D41,D41)</f>
        <v>3</v>
      </c>
      <c r="M41" t="str">
        <f xml:space="preserve"> IF(COUNTIF($I$2:$I809,I41)&gt;1,"duplicated","original")</f>
        <v>duplicated</v>
      </c>
      <c r="N41" s="2">
        <f>COUNTIF($I$2:$I41,I41)</f>
        <v>1</v>
      </c>
      <c r="O41" s="8">
        <f t="shared" si="0"/>
        <v>1.7275402509335562</v>
      </c>
      <c r="P41" s="8">
        <f t="shared" si="1"/>
        <v>4.7723194056719347</v>
      </c>
      <c r="Q41">
        <v>38</v>
      </c>
      <c r="R41" s="9">
        <f t="shared" si="3"/>
        <v>-1.5902938610303279</v>
      </c>
      <c r="S41">
        <v>21</v>
      </c>
      <c r="T41" s="9">
        <f t="shared" si="2"/>
        <v>-0.6673620080941074</v>
      </c>
      <c r="U41" s="3">
        <f>QUARTILE(D2:D770,1)</f>
        <v>62</v>
      </c>
      <c r="V41" s="3"/>
      <c r="W41" s="3">
        <f>QUARTILE(I2:I770,1)</f>
        <v>24</v>
      </c>
    </row>
    <row r="42" spans="1:23" x14ac:dyDescent="0.25">
      <c r="A42">
        <v>41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>
        <v>0</v>
      </c>
      <c r="K42" t="str">
        <f xml:space="preserve"> IF(COUNTIF($D$2:$D796,$D$3)&gt;1,"duplicated","original")</f>
        <v>duplicated</v>
      </c>
      <c r="L42" s="2">
        <f>COUNTIF($D$2:$D42,D42)</f>
        <v>2</v>
      </c>
      <c r="M42" t="str">
        <f xml:space="preserve"> IF(COUNTIF($I$2:$I810,I42)&gt;1,"duplicated","original")</f>
        <v>duplicated</v>
      </c>
      <c r="N42" s="2">
        <f>COUNTIF($I$2:$I42,I42)</f>
        <v>2</v>
      </c>
      <c r="O42" s="8">
        <f t="shared" si="0"/>
        <v>2.2395545720978594</v>
      </c>
      <c r="P42" s="8">
        <f t="shared" si="1"/>
        <v>2.6879299637912952</v>
      </c>
      <c r="Q42">
        <v>40</v>
      </c>
      <c r="R42" s="9">
        <f t="shared" si="3"/>
        <v>-1.4877458773707479</v>
      </c>
      <c r="S42">
        <v>21</v>
      </c>
      <c r="T42" s="9">
        <f t="shared" si="2"/>
        <v>-2.2055817629878085</v>
      </c>
      <c r="U42" s="3"/>
      <c r="V42" s="3"/>
      <c r="W42" s="3"/>
    </row>
    <row r="43" spans="1:23" x14ac:dyDescent="0.25">
      <c r="A43">
        <v>42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>
        <v>0</v>
      </c>
      <c r="K43" t="str">
        <f xml:space="preserve"> IF(COUNTIF($D$2:$D811,D43)&gt;1,"duplicated","original")</f>
        <v>duplicated</v>
      </c>
      <c r="L43" s="2">
        <f>COUNTIF($D$2:$D43,D43)</f>
        <v>3</v>
      </c>
      <c r="M43" t="str">
        <f xml:space="preserve"> IF(COUNTIF($I$2:$I797,I43)&gt;1,"duplicated","original")</f>
        <v>duplicated</v>
      </c>
      <c r="N43" s="2">
        <f>COUNTIF($I$2:$I43,I43)</f>
        <v>1</v>
      </c>
      <c r="O43" s="8">
        <f t="shared" si="0"/>
        <v>3.8709682662863014</v>
      </c>
      <c r="P43" s="8">
        <f t="shared" si="1"/>
        <v>1.9429442888958308</v>
      </c>
      <c r="Q43">
        <v>44</v>
      </c>
      <c r="R43" s="9">
        <f t="shared" si="3"/>
        <v>-1.2826499100515878</v>
      </c>
      <c r="S43">
        <v>21</v>
      </c>
      <c r="T43" s="9">
        <f t="shared" si="2"/>
        <v>-1.6415678528601181</v>
      </c>
      <c r="U43" s="3" t="s">
        <v>28</v>
      </c>
      <c r="V43" s="3"/>
      <c r="W43" s="3" t="s">
        <v>28</v>
      </c>
    </row>
    <row r="44" spans="1:23" x14ac:dyDescent="0.25">
      <c r="A44">
        <v>43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>
        <v>0</v>
      </c>
      <c r="K44" t="str">
        <f xml:space="preserve"> IF(COUNTIF($D$2:$D812,D44)&gt;1,"duplicated","original")</f>
        <v>duplicated</v>
      </c>
      <c r="L44" s="2">
        <f>COUNTIF($D$2:$D44,D44)</f>
        <v>4</v>
      </c>
      <c r="M44" t="str">
        <f xml:space="preserve"> IF(COUNTIF($I$2:$I812,I44)&gt;1,"duplicated","original")</f>
        <v>duplicated</v>
      </c>
      <c r="N44" s="2">
        <f>COUNTIF($I$2:$I44,I44)</f>
        <v>1</v>
      </c>
      <c r="O44" s="8">
        <f t="shared" si="0"/>
        <v>4.7942043467707522</v>
      </c>
      <c r="P44" s="8">
        <f t="shared" si="1"/>
        <v>3.8438304475812828</v>
      </c>
      <c r="Q44">
        <v>44</v>
      </c>
      <c r="R44" s="9">
        <f t="shared" si="3"/>
        <v>-1.2826499100515878</v>
      </c>
      <c r="S44">
        <v>21</v>
      </c>
      <c r="T44" s="9">
        <f t="shared" si="2"/>
        <v>-1.0775539427324277</v>
      </c>
      <c r="U44" s="3">
        <f>QUARTILE(D2:D770,3)</f>
        <v>80</v>
      </c>
      <c r="V44" s="3"/>
      <c r="W44" s="3">
        <f>QUARTILE(I2:I770,3)</f>
        <v>41</v>
      </c>
    </row>
    <row r="45" spans="1:23" x14ac:dyDescent="0.25">
      <c r="A45">
        <v>44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>
        <v>1</v>
      </c>
      <c r="K45" t="str">
        <f xml:space="preserve"> IF(COUNTIF($D$2:$D799,$D$3)&gt;1,"duplicated","original")</f>
        <v>duplicated</v>
      </c>
      <c r="L45" s="2">
        <f>COUNTIF($D$2:$D45,D45)</f>
        <v>1</v>
      </c>
      <c r="M45" t="str">
        <f xml:space="preserve"> IF(COUNTIF($I$2:$I813,I45)&gt;1,"duplicated","original")</f>
        <v>duplicated</v>
      </c>
      <c r="N45" s="2">
        <f>COUNTIF($I$2:$I45,I45)</f>
        <v>2</v>
      </c>
      <c r="O45" s="8">
        <f t="shared" si="0"/>
        <v>6.4019056005689094</v>
      </c>
      <c r="P45" s="8">
        <f t="shared" si="1"/>
        <v>4.5579636362912028</v>
      </c>
      <c r="Q45">
        <v>44</v>
      </c>
      <c r="R45" s="9">
        <f t="shared" si="3"/>
        <v>-1.2826499100515878</v>
      </c>
      <c r="S45">
        <v>21</v>
      </c>
      <c r="T45" s="9">
        <f t="shared" si="2"/>
        <v>-0.76990999175368746</v>
      </c>
      <c r="U45" s="3"/>
      <c r="V45" s="3"/>
      <c r="W45" s="3"/>
    </row>
    <row r="46" spans="1:23" x14ac:dyDescent="0.25">
      <c r="A46">
        <v>45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>
        <v>0</v>
      </c>
      <c r="K46" t="str">
        <f xml:space="preserve"> IF(COUNTIF($D$2:$D814,D46)&gt;1,"duplicated","original")</f>
        <v>duplicated</v>
      </c>
      <c r="L46" s="2">
        <f>COUNTIF($D$2:$D46,D46)</f>
        <v>3</v>
      </c>
      <c r="M46" t="str">
        <f xml:space="preserve"> IF(COUNTIF($I$2:$I814,I46)&gt;1,"duplicated","original")</f>
        <v>duplicated</v>
      </c>
      <c r="N46" s="2">
        <f>COUNTIF($I$2:$I46,I46)</f>
        <v>1</v>
      </c>
      <c r="O46" s="8">
        <f t="shared" si="0"/>
        <v>2.2395545720978594</v>
      </c>
      <c r="P46" s="8">
        <f t="shared" si="1"/>
        <v>2.6028892619074147</v>
      </c>
      <c r="Q46">
        <v>44</v>
      </c>
      <c r="R46" s="9">
        <f t="shared" si="3"/>
        <v>-1.2826499100515878</v>
      </c>
      <c r="S46">
        <v>21</v>
      </c>
      <c r="T46" s="9">
        <f t="shared" si="2"/>
        <v>-1.4877458773707479</v>
      </c>
      <c r="U46" s="3" t="s">
        <v>29</v>
      </c>
      <c r="V46" s="3"/>
      <c r="W46" s="3" t="s">
        <v>29</v>
      </c>
    </row>
    <row r="47" spans="1:23" x14ac:dyDescent="0.25">
      <c r="A47">
        <v>46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>
        <v>1</v>
      </c>
      <c r="K47" t="str">
        <f xml:space="preserve"> IF(COUNTIF($D$2:$D815,D47)&gt;1,"duplicated","original")</f>
        <v>duplicated</v>
      </c>
      <c r="L47" s="2">
        <f>COUNTIF($D$2:$D47,D47)</f>
        <v>4</v>
      </c>
      <c r="M47" t="str">
        <f xml:space="preserve"> IF(COUNTIF($I$2:$I801,I47)&gt;1,"duplicated","original")</f>
        <v>duplicated</v>
      </c>
      <c r="N47" s="2">
        <f>COUNTIF($I$2:$I47,I47)</f>
        <v>1</v>
      </c>
      <c r="O47" s="8">
        <f t="shared" si="0"/>
        <v>1.7365496484133203</v>
      </c>
      <c r="P47" s="8">
        <f t="shared" si="1"/>
        <v>2.8679204121186967</v>
      </c>
      <c r="Q47">
        <v>46</v>
      </c>
      <c r="R47" s="9">
        <f t="shared" si="3"/>
        <v>-1.1801019263920078</v>
      </c>
      <c r="S47">
        <v>21</v>
      </c>
      <c r="T47" s="9">
        <f t="shared" si="2"/>
        <v>-2.2568557548175985</v>
      </c>
      <c r="U47" s="3">
        <f>QUARTILE(D2:D770,1)</f>
        <v>62</v>
      </c>
      <c r="V47" s="3"/>
      <c r="W47" s="3">
        <f>QUARTILE(F2:I770,1)</f>
        <v>0.3695</v>
      </c>
    </row>
    <row r="48" spans="1:23" x14ac:dyDescent="0.25">
      <c r="A48">
        <v>47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>
        <v>0</v>
      </c>
      <c r="K48" t="str">
        <f xml:space="preserve"> IF(COUNTIF($D$2:$D802,$D$3)&gt;1,"duplicated","original")</f>
        <v>duplicated</v>
      </c>
      <c r="L48" s="2">
        <f>COUNTIF($D$2:$D48,D48)</f>
        <v>1</v>
      </c>
      <c r="M48" t="str">
        <f xml:space="preserve"> IF(COUNTIF($I$2:$I816,I48)&gt;1,"duplicated","original")</f>
        <v>duplicated</v>
      </c>
      <c r="N48" s="2">
        <f>COUNTIF($I$2:$I48,I48)</f>
        <v>3</v>
      </c>
      <c r="O48" s="8">
        <f t="shared" si="0"/>
        <v>3.6077146064239098</v>
      </c>
      <c r="P48" s="8">
        <f t="shared" si="1"/>
        <v>2.0554725710276638</v>
      </c>
      <c r="Q48">
        <v>46</v>
      </c>
      <c r="R48" s="9">
        <f t="shared" si="3"/>
        <v>-1.1801019263920078</v>
      </c>
      <c r="S48">
        <v>21</v>
      </c>
      <c r="T48" s="9">
        <f t="shared" si="2"/>
        <v>-2.0517597874984381</v>
      </c>
      <c r="U48" s="3"/>
      <c r="V48" s="3"/>
      <c r="W48" s="3"/>
    </row>
    <row r="49" spans="1:23" x14ac:dyDescent="0.25">
      <c r="A49">
        <v>48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>
        <v>0</v>
      </c>
      <c r="K49" t="str">
        <f xml:space="preserve"> IF(COUNTIF($D$2:$D817,D49)&gt;1,"duplicated","original")</f>
        <v>duplicated</v>
      </c>
      <c r="L49" s="2">
        <f>COUNTIF($D$2:$D49,D49)</f>
        <v>4</v>
      </c>
      <c r="M49" t="str">
        <f xml:space="preserve"> IF(COUNTIF($I$2:$I817,I49)&gt;1,"duplicated","original")</f>
        <v>duplicated</v>
      </c>
      <c r="N49" s="2">
        <f>COUNTIF($I$2:$I49,I49)</f>
        <v>3</v>
      </c>
      <c r="O49" s="8">
        <f t="shared" si="0"/>
        <v>0.99216698120607405</v>
      </c>
      <c r="P49" s="8">
        <f t="shared" si="1"/>
        <v>3.3503682618851132</v>
      </c>
      <c r="Q49">
        <v>48</v>
      </c>
      <c r="R49" s="9">
        <f t="shared" si="3"/>
        <v>-1.0775539427324277</v>
      </c>
      <c r="S49">
        <v>21</v>
      </c>
      <c r="T49" s="9">
        <f t="shared" si="2"/>
        <v>-2.4106777303069684</v>
      </c>
      <c r="U49" s="3" t="s">
        <v>30</v>
      </c>
      <c r="V49" s="3"/>
      <c r="W49" s="3" t="s">
        <v>30</v>
      </c>
    </row>
    <row r="50" spans="1:23" x14ac:dyDescent="0.25">
      <c r="A50">
        <v>49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>
        <v>1</v>
      </c>
      <c r="K50" t="str">
        <f xml:space="preserve"> IF(COUNTIF($D$2:$D818,D50)&gt;1,"duplicated","original")</f>
        <v>duplicated</v>
      </c>
      <c r="L50" s="2">
        <f>COUNTIF($D$2:$D50,D50)</f>
        <v>5</v>
      </c>
      <c r="M50" t="str">
        <f xml:space="preserve"> IF(COUNTIF($I$2:$I818,I50)&gt;1,"duplicated","original")</f>
        <v>duplicated</v>
      </c>
      <c r="N50" s="2">
        <f>COUNTIF($I$2:$I50,I50)</f>
        <v>4</v>
      </c>
      <c r="O50" s="8">
        <f t="shared" si="0"/>
        <v>1.7365496484133203</v>
      </c>
      <c r="P50" s="8">
        <f t="shared" si="1"/>
        <v>1.4916324916838848</v>
      </c>
      <c r="Q50">
        <v>48</v>
      </c>
      <c r="R50" s="9">
        <f t="shared" si="3"/>
        <v>-1.0775539427324277</v>
      </c>
      <c r="S50">
        <v>21</v>
      </c>
      <c r="T50" s="9">
        <f t="shared" si="2"/>
        <v>-1.9492118038388582</v>
      </c>
      <c r="U50" s="3">
        <f xml:space="preserve"> U44-U47</f>
        <v>18</v>
      </c>
      <c r="V50" s="3"/>
      <c r="W50" s="3">
        <f xml:space="preserve"> W44-W47</f>
        <v>40.630499999999998</v>
      </c>
    </row>
    <row r="51" spans="1:23" x14ac:dyDescent="0.25">
      <c r="A51">
        <v>50</v>
      </c>
      <c r="B51">
        <v>7</v>
      </c>
      <c r="C51">
        <v>105</v>
      </c>
      <c r="D51">
        <v>0</v>
      </c>
      <c r="E51">
        <v>0</v>
      </c>
      <c r="F51">
        <v>0</v>
      </c>
      <c r="G51">
        <v>0</v>
      </c>
      <c r="H51">
        <v>0.30499999999999999</v>
      </c>
      <c r="I51">
        <v>24</v>
      </c>
      <c r="J51">
        <v>0</v>
      </c>
      <c r="K51" t="str">
        <f xml:space="preserve"> IF(COUNTIF($D$2:$D805,$D$3)&gt;1,"duplicated","original")</f>
        <v>duplicated</v>
      </c>
      <c r="L51" s="2">
        <f>COUNTIF($D$2:$D51,D51)</f>
        <v>3</v>
      </c>
      <c r="M51" t="str">
        <f xml:space="preserve"> IF(COUNTIF($I$2:$I805,I51)&gt;1,"duplicated","original")</f>
        <v>duplicated</v>
      </c>
      <c r="N51" s="2">
        <f>COUNTIF($I$2:$I51,I51)</f>
        <v>1</v>
      </c>
      <c r="O51" s="8">
        <f t="shared" si="0"/>
        <v>8.3075631012592623</v>
      </c>
      <c r="P51" s="8">
        <f t="shared" si="1"/>
        <v>3.0372631578852487</v>
      </c>
      <c r="Q51">
        <v>48</v>
      </c>
      <c r="R51" s="9">
        <f t="shared" si="3"/>
        <v>-1.0775539427324277</v>
      </c>
      <c r="S51">
        <v>21</v>
      </c>
      <c r="T51" s="9">
        <f t="shared" si="2"/>
        <v>-2.3081297466473885</v>
      </c>
    </row>
    <row r="52" spans="1:23" ht="15.75" x14ac:dyDescent="0.25">
      <c r="A52">
        <v>51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>
        <v>0</v>
      </c>
      <c r="K52" t="str">
        <f xml:space="preserve"> IF(COUNTIF($D$2:$D820,D52)&gt;1,"duplicated","original")</f>
        <v>duplicated</v>
      </c>
      <c r="L52" s="2">
        <f>COUNTIF($D$2:$D52,D52)</f>
        <v>3</v>
      </c>
      <c r="M52" t="str">
        <f xml:space="preserve"> IF(COUNTIF($I$2:$I820,I52)&gt;1,"duplicated","original")</f>
        <v>duplicated</v>
      </c>
      <c r="N52" s="2">
        <f>COUNTIF($I$2:$I52,I52)</f>
        <v>4</v>
      </c>
      <c r="O52" s="8">
        <f t="shared" si="0"/>
        <v>3.3142714612106796</v>
      </c>
      <c r="P52" s="8">
        <f t="shared" si="1"/>
        <v>3.3503682618851132</v>
      </c>
      <c r="Q52">
        <v>48</v>
      </c>
      <c r="R52" s="9">
        <f t="shared" si="3"/>
        <v>-1.0775539427324277</v>
      </c>
      <c r="S52">
        <v>21</v>
      </c>
      <c r="T52" s="9">
        <f t="shared" si="2"/>
        <v>-2.4106777303069684</v>
      </c>
      <c r="U52" s="11"/>
    </row>
    <row r="53" spans="1:23" x14ac:dyDescent="0.25">
      <c r="A53">
        <v>52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>
        <v>0</v>
      </c>
      <c r="K53" t="str">
        <f xml:space="preserve"> IF(COUNTIF($D$2:$D821,D53)&gt;1,"duplicated","original")</f>
        <v>duplicated</v>
      </c>
      <c r="L53" s="2">
        <f>COUNTIF($D$2:$D53,D53)</f>
        <v>2</v>
      </c>
      <c r="M53" t="str">
        <f xml:space="preserve"> IF(COUNTIF($I$2:$I821,I53)&gt;1,"duplicated","original")</f>
        <v>duplicated</v>
      </c>
      <c r="N53" s="2">
        <f>COUNTIF($I$2:$I53,I53)</f>
        <v>3</v>
      </c>
      <c r="O53" s="8">
        <f t="shared" si="0"/>
        <v>4.3606885558824793</v>
      </c>
      <c r="P53" s="8">
        <f t="shared" si="1"/>
        <v>2.6879299637912952</v>
      </c>
      <c r="Q53">
        <v>48</v>
      </c>
      <c r="R53" s="9">
        <f t="shared" si="3"/>
        <v>-1.0775539427324277</v>
      </c>
      <c r="S53">
        <v>21</v>
      </c>
      <c r="T53" s="9">
        <f t="shared" si="2"/>
        <v>-2.2055817629878085</v>
      </c>
    </row>
    <row r="54" spans="1:23" ht="15.75" x14ac:dyDescent="0.25">
      <c r="A54">
        <v>53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>
        <v>0</v>
      </c>
      <c r="K54" t="str">
        <f xml:space="preserve"> IF(COUNTIF($D$2:$D808,$D$3)&gt;1,"duplicated","original")</f>
        <v>duplicated</v>
      </c>
      <c r="L54" s="2">
        <f>COUNTIF($D$2:$D54,D54)</f>
        <v>6</v>
      </c>
      <c r="M54" t="str">
        <f xml:space="preserve"> IF(COUNTIF($I$2:$I822,I54)&gt;1,"duplicated","original")</f>
        <v>duplicated</v>
      </c>
      <c r="N54" s="2">
        <f>COUNTIF($I$2:$I54,I54)</f>
        <v>3</v>
      </c>
      <c r="O54" s="8">
        <f t="shared" si="0"/>
        <v>1.7365496484133203</v>
      </c>
      <c r="P54" s="8">
        <f t="shared" si="1"/>
        <v>1.7958194481202931</v>
      </c>
      <c r="Q54">
        <v>50</v>
      </c>
      <c r="R54" s="9">
        <f t="shared" si="3"/>
        <v>-0.97500595907284759</v>
      </c>
      <c r="S54">
        <v>21</v>
      </c>
      <c r="T54" s="9">
        <f t="shared" si="2"/>
        <v>-2.0004857956686481</v>
      </c>
      <c r="U54" s="7"/>
    </row>
    <row r="55" spans="1:23" x14ac:dyDescent="0.25">
      <c r="A55">
        <v>54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>
        <v>1</v>
      </c>
      <c r="K55" t="str">
        <f xml:space="preserve"> IF(COUNTIF($D$2:$D823,D55)&gt;1,"duplicated","original")</f>
        <v>duplicated</v>
      </c>
      <c r="L55" s="2">
        <f>COUNTIF($D$2:$D55,D55)</f>
        <v>2</v>
      </c>
      <c r="M55" t="str">
        <f xml:space="preserve"> IF(COUNTIF($I$2:$I809,I55)&gt;1,"duplicated","original")</f>
        <v>duplicated</v>
      </c>
      <c r="N55" s="2">
        <f>COUNTIF($I$2:$I55,I55)</f>
        <v>1</v>
      </c>
      <c r="O55" s="8">
        <f t="shared" si="0"/>
        <v>4.5808727682173815</v>
      </c>
      <c r="P55" s="8">
        <f t="shared" si="1"/>
        <v>4.9774524116010319</v>
      </c>
      <c r="Q55">
        <v>50</v>
      </c>
      <c r="R55" s="9">
        <f t="shared" si="3"/>
        <v>-0.97500595907284759</v>
      </c>
      <c r="S55">
        <v>21</v>
      </c>
      <c r="T55" s="9">
        <f t="shared" si="2"/>
        <v>-0.56481402443452733</v>
      </c>
    </row>
    <row r="56" spans="1:23" x14ac:dyDescent="0.25">
      <c r="A56">
        <v>55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>
        <v>0</v>
      </c>
      <c r="K56" t="str">
        <f xml:space="preserve"> IF(COUNTIF($D$2:$D824,D56)&gt;1,"duplicated","original")</f>
        <v>duplicated</v>
      </c>
      <c r="L56" s="2">
        <f>COUNTIF($D$2:$D56,D56)</f>
        <v>7</v>
      </c>
      <c r="M56" t="str">
        <f xml:space="preserve"> IF(COUNTIF($I$2:$I824,I56)&gt;1,"duplicated","original")</f>
        <v>duplicated</v>
      </c>
      <c r="N56" s="2">
        <f>COUNTIF($I$2:$I56,I56)</f>
        <v>1</v>
      </c>
      <c r="O56" s="8">
        <f t="shared" si="0"/>
        <v>1.7365496484133203</v>
      </c>
      <c r="P56" s="8">
        <f t="shared" si="1"/>
        <v>2.9622681360324097</v>
      </c>
      <c r="Q56">
        <v>50</v>
      </c>
      <c r="R56" s="9">
        <f t="shared" si="3"/>
        <v>-0.97500595907284759</v>
      </c>
      <c r="S56">
        <v>21</v>
      </c>
      <c r="T56" s="9">
        <f t="shared" si="2"/>
        <v>-1.385197893711168</v>
      </c>
    </row>
    <row r="57" spans="1:23" ht="15.75" x14ac:dyDescent="0.25">
      <c r="A57">
        <v>56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>
        <v>0</v>
      </c>
      <c r="K57" t="str">
        <f xml:space="preserve"> IF(COUNTIF($D$2:$D811,$D$3)&gt;1,"duplicated","original")</f>
        <v>duplicated</v>
      </c>
      <c r="L57" s="2">
        <f>COUNTIF($D$2:$D57,D57)</f>
        <v>3</v>
      </c>
      <c r="M57" t="str">
        <f xml:space="preserve"> IF(COUNTIF($I$2:$I825,I57)&gt;1,"duplicated","original")</f>
        <v>duplicated</v>
      </c>
      <c r="N57" s="2">
        <f>COUNTIF($I$2:$I57,I57)</f>
        <v>2</v>
      </c>
      <c r="O57" s="8">
        <f t="shared" si="0"/>
        <v>4.3606885558824793</v>
      </c>
      <c r="P57" s="8">
        <f t="shared" si="1"/>
        <v>3.4964220984096119</v>
      </c>
      <c r="Q57">
        <v>50</v>
      </c>
      <c r="R57" s="9">
        <f t="shared" si="3"/>
        <v>-0.97500595907284759</v>
      </c>
      <c r="S57">
        <v>21</v>
      </c>
      <c r="T57" s="9">
        <f t="shared" si="2"/>
        <v>-2.4619517221367584</v>
      </c>
      <c r="U57" s="5"/>
    </row>
    <row r="58" spans="1:23" x14ac:dyDescent="0.25">
      <c r="A58">
        <v>57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>
        <v>1</v>
      </c>
      <c r="K58" t="str">
        <f xml:space="preserve"> IF(COUNTIF($D$2:$D826,D58)&gt;1,"duplicated","original")</f>
        <v>duplicated</v>
      </c>
      <c r="L58" s="2">
        <f>COUNTIF($D$2:$D58,D58)</f>
        <v>2</v>
      </c>
      <c r="M58" t="str">
        <f xml:space="preserve"> IF(COUNTIF($I$2:$I826,I58)&gt;1,"duplicated","original")</f>
        <v>duplicated</v>
      </c>
      <c r="N58" s="2">
        <f>COUNTIF($I$2:$I58,I58)</f>
        <v>3</v>
      </c>
      <c r="O58" s="8">
        <f t="shared" si="0"/>
        <v>1.0077721376404618</v>
      </c>
      <c r="P58" s="8">
        <f t="shared" si="1"/>
        <v>2.7883745282427403</v>
      </c>
      <c r="Q58">
        <v>50</v>
      </c>
      <c r="R58" s="9">
        <f t="shared" si="3"/>
        <v>-0.97500595907284759</v>
      </c>
      <c r="S58">
        <v>21</v>
      </c>
      <c r="T58" s="9">
        <f t="shared" si="2"/>
        <v>-1.4364718855409579</v>
      </c>
    </row>
    <row r="59" spans="1:23" x14ac:dyDescent="0.25">
      <c r="A59">
        <v>58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>
        <v>0</v>
      </c>
      <c r="K59" t="str">
        <f xml:space="preserve"> IF(COUNTIF($D$2:$D827,D59)&gt;1,"duplicated","original")</f>
        <v>duplicated</v>
      </c>
      <c r="L59" s="2">
        <f>COUNTIF($D$2:$D59,D59)</f>
        <v>2</v>
      </c>
      <c r="M59" t="str">
        <f xml:space="preserve"> IF(COUNTIF($I$2:$I813,I59)&gt;1,"duplicated","original")</f>
        <v>duplicated</v>
      </c>
      <c r="N59" s="2">
        <f>COUNTIF($I$2:$I59,I59)</f>
        <v>5</v>
      </c>
      <c r="O59" s="8">
        <f t="shared" si="0"/>
        <v>4.3571085961444176</v>
      </c>
      <c r="P59" s="8">
        <f t="shared" si="1"/>
        <v>1.4916324916838848</v>
      </c>
      <c r="Q59">
        <v>50</v>
      </c>
      <c r="R59" s="9">
        <f t="shared" si="3"/>
        <v>-0.97500595907284759</v>
      </c>
      <c r="S59">
        <v>21</v>
      </c>
      <c r="T59" s="9">
        <f t="shared" si="2"/>
        <v>-1.9492118038388582</v>
      </c>
    </row>
    <row r="60" spans="1:23" ht="15.75" x14ac:dyDescent="0.25">
      <c r="A60">
        <v>59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>
        <v>0</v>
      </c>
      <c r="K60" t="str">
        <f xml:space="preserve"> IF(COUNTIF($D$2:$D814,$D$3)&gt;1,"duplicated","original")</f>
        <v>duplicated</v>
      </c>
      <c r="L60" s="2">
        <f>COUNTIF($D$2:$D60,D60)</f>
        <v>2</v>
      </c>
      <c r="M60" t="str">
        <f xml:space="preserve"> IF(COUNTIF($I$2:$I828,I60)&gt;1,"duplicated","original")</f>
        <v>duplicated</v>
      </c>
      <c r="N60" s="2">
        <f>COUNTIF($I$2:$I60,I60)</f>
        <v>1</v>
      </c>
      <c r="O60" s="8">
        <f t="shared" si="0"/>
        <v>3.6033866457258754</v>
      </c>
      <c r="P60" s="8">
        <f t="shared" si="1"/>
        <v>3.282534464366357</v>
      </c>
      <c r="Q60">
        <v>50</v>
      </c>
      <c r="R60" s="9">
        <f t="shared" si="3"/>
        <v>-0.97500595907284759</v>
      </c>
      <c r="S60">
        <v>21</v>
      </c>
      <c r="T60" s="9">
        <f t="shared" si="2"/>
        <v>-1.2826499100515878</v>
      </c>
      <c r="U60" s="4"/>
    </row>
    <row r="61" spans="1:23" x14ac:dyDescent="0.25">
      <c r="A61">
        <v>60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>
        <v>0</v>
      </c>
      <c r="K61" t="str">
        <f xml:space="preserve"> IF(COUNTIF($D$2:$D829,D61)&gt;1,"duplicated","original")</f>
        <v>duplicated</v>
      </c>
      <c r="L61" s="2">
        <f>COUNTIF($D$2:$D61,D61)</f>
        <v>4</v>
      </c>
      <c r="M61" t="str">
        <f xml:space="preserve"> IF(COUNTIF($I$2:$I829,I61)&gt;1,"duplicated","original")</f>
        <v>duplicated</v>
      </c>
      <c r="N61" s="2">
        <f>COUNTIF($I$2:$I61,I61)</f>
        <v>5</v>
      </c>
      <c r="O61" s="8">
        <f t="shared" si="0"/>
        <v>2.2395545720978594</v>
      </c>
      <c r="P61" s="8">
        <f t="shared" si="1"/>
        <v>3.3503682618851132</v>
      </c>
      <c r="Q61">
        <v>50</v>
      </c>
      <c r="R61" s="9">
        <f t="shared" si="3"/>
        <v>-0.97500595907284759</v>
      </c>
      <c r="S61">
        <v>21</v>
      </c>
      <c r="T61" s="9">
        <f t="shared" si="2"/>
        <v>-2.4106777303069684</v>
      </c>
    </row>
    <row r="62" spans="1:23" ht="15.75" x14ac:dyDescent="0.25">
      <c r="A62">
        <v>61</v>
      </c>
      <c r="B62">
        <v>2</v>
      </c>
      <c r="C62">
        <v>84</v>
      </c>
      <c r="D62">
        <v>0</v>
      </c>
      <c r="E62">
        <v>0</v>
      </c>
      <c r="F62">
        <v>0</v>
      </c>
      <c r="G62">
        <v>0</v>
      </c>
      <c r="H62">
        <v>0.30399999999999999</v>
      </c>
      <c r="I62">
        <v>21</v>
      </c>
      <c r="J62">
        <v>0</v>
      </c>
      <c r="K62" t="str">
        <f xml:space="preserve"> IF(COUNTIF($D$2:$D830,D62)&gt;1,"duplicated","original")</f>
        <v>duplicated</v>
      </c>
      <c r="L62" s="2">
        <f>COUNTIF($D$2:$D62,D62)</f>
        <v>4</v>
      </c>
      <c r="M62" t="str">
        <f xml:space="preserve"> IF(COUNTIF($I$2:$I830,I62)&gt;1,"duplicated","original")</f>
        <v>duplicated</v>
      </c>
      <c r="N62" s="2">
        <f>COUNTIF($I$2:$I62,I62)</f>
        <v>3</v>
      </c>
      <c r="O62" s="8">
        <f t="shared" si="0"/>
        <v>8.3075631012592623</v>
      </c>
      <c r="P62" s="8">
        <f t="shared" si="1"/>
        <v>3.4964220984096119</v>
      </c>
      <c r="Q62">
        <v>50</v>
      </c>
      <c r="R62" s="9">
        <f t="shared" si="3"/>
        <v>-0.97500595907284759</v>
      </c>
      <c r="S62">
        <v>21</v>
      </c>
      <c r="T62" s="9">
        <f t="shared" si="2"/>
        <v>-2.4619517221367584</v>
      </c>
      <c r="U62" s="7"/>
    </row>
    <row r="63" spans="1:23" x14ac:dyDescent="0.25">
      <c r="A63">
        <v>62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>
        <v>1</v>
      </c>
      <c r="K63" t="str">
        <f xml:space="preserve"> IF(COUNTIF($D$2:$D817,$D$3)&gt;1,"duplicated","original")</f>
        <v>duplicated</v>
      </c>
      <c r="L63" s="2">
        <f>COUNTIF($D$2:$D63,D63)</f>
        <v>4</v>
      </c>
      <c r="M63" t="str">
        <f xml:space="preserve"> IF(COUNTIF($I$2:$I817,I63)&gt;1,"duplicated","original")</f>
        <v>duplicated</v>
      </c>
      <c r="N63" s="2">
        <f>COUNTIF($I$2:$I63,I63)</f>
        <v>1</v>
      </c>
      <c r="O63" s="8">
        <f t="shared" si="0"/>
        <v>1.7275402509335562</v>
      </c>
      <c r="P63" s="8">
        <f t="shared" si="1"/>
        <v>2.4031297321936087</v>
      </c>
      <c r="Q63">
        <v>50</v>
      </c>
      <c r="R63" s="9">
        <f t="shared" si="3"/>
        <v>-0.97500595907284759</v>
      </c>
      <c r="S63">
        <v>21</v>
      </c>
      <c r="T63" s="9">
        <f t="shared" si="2"/>
        <v>-1.5390198692005379</v>
      </c>
    </row>
    <row r="64" spans="1:23" x14ac:dyDescent="0.25">
      <c r="A64">
        <v>63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>
        <v>0</v>
      </c>
      <c r="K64" t="str">
        <f xml:space="preserve"> IF(COUNTIF($D$2:$D832,D64)&gt;1,"duplicated","original")</f>
        <v>duplicated</v>
      </c>
      <c r="L64" s="2">
        <f>COUNTIF($D$2:$D64,D64)</f>
        <v>1</v>
      </c>
      <c r="M64" t="str">
        <f xml:space="preserve"> IF(COUNTIF($I$2:$I832,I64)&gt;1,"duplicated","original")</f>
        <v>duplicated</v>
      </c>
      <c r="N64" s="2">
        <f>COUNTIF($I$2:$I64,I64)</f>
        <v>1</v>
      </c>
      <c r="O64" s="8">
        <f t="shared" si="0"/>
        <v>2.648698676974115</v>
      </c>
      <c r="P64" s="8">
        <f t="shared" si="1"/>
        <v>1.6658428826731906</v>
      </c>
      <c r="Q64">
        <v>50</v>
      </c>
      <c r="R64" s="9">
        <f t="shared" si="3"/>
        <v>-0.97500595907284759</v>
      </c>
      <c r="S64">
        <v>21</v>
      </c>
      <c r="T64" s="9">
        <f t="shared" si="2"/>
        <v>-1.6928418446899081</v>
      </c>
    </row>
    <row r="65" spans="1:20" x14ac:dyDescent="0.25">
      <c r="A65">
        <v>64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>
        <v>0</v>
      </c>
      <c r="K65" t="str">
        <f xml:space="preserve"> IF(COUNTIF($D$2:$D833,D65)&gt;1,"duplicated","original")</f>
        <v>duplicated</v>
      </c>
      <c r="L65" s="2">
        <f>COUNTIF($D$2:$D65,D65)</f>
        <v>2</v>
      </c>
      <c r="M65" t="str">
        <f xml:space="preserve"> IF(COUNTIF($I$2:$I833,I65)&gt;1,"duplicated","original")</f>
        <v>duplicated</v>
      </c>
      <c r="N65" s="2">
        <f>COUNTIF($I$2:$I65,I65)</f>
        <v>2</v>
      </c>
      <c r="O65" s="8">
        <f t="shared" si="0"/>
        <v>3.3189764508662045</v>
      </c>
      <c r="P65" s="8">
        <f t="shared" si="1"/>
        <v>3.0372631578852487</v>
      </c>
      <c r="Q65">
        <v>50</v>
      </c>
      <c r="R65" s="9">
        <f t="shared" si="3"/>
        <v>-0.97500595907284759</v>
      </c>
      <c r="S65">
        <f>MIN(S1:S64)</f>
        <v>21</v>
      </c>
      <c r="T65" s="9">
        <f t="shared" si="2"/>
        <v>-2.3081297466473885</v>
      </c>
    </row>
    <row r="66" spans="1:20" x14ac:dyDescent="0.25">
      <c r="A66">
        <v>65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>
        <v>1</v>
      </c>
      <c r="K66" t="str">
        <f xml:space="preserve"> IF(COUNTIF($D$2:$D820,$D$3)&gt;1,"duplicated","original")</f>
        <v>duplicated</v>
      </c>
      <c r="L66" s="2">
        <f>COUNTIF($D$2:$D66,D66)</f>
        <v>8</v>
      </c>
      <c r="M66" t="str">
        <f xml:space="preserve"> IF(COUNTIF($I$2:$I834,I66)&gt;1,"duplicated","original")</f>
        <v>duplicated</v>
      </c>
      <c r="N66" s="2">
        <f>COUNTIF($I$2:$I66,I66)</f>
        <v>2</v>
      </c>
      <c r="O66" s="8">
        <f t="shared" ref="O66:O129" si="4">SQRT(ABS($D66 - $U$8))</f>
        <v>1.7365496484133203</v>
      </c>
      <c r="P66" s="8">
        <f t="shared" ref="P66:P129" si="5">SQRT(ABS($I66 - $W$8))</f>
        <v>2.9622681360324097</v>
      </c>
      <c r="Q66">
        <v>50</v>
      </c>
      <c r="R66" s="9">
        <f t="shared" si="3"/>
        <v>-0.97500595907284759</v>
      </c>
      <c r="S66">
        <v>22</v>
      </c>
      <c r="T66" s="9">
        <f t="shared" si="2"/>
        <v>-1.385197893711168</v>
      </c>
    </row>
    <row r="67" spans="1:20" x14ac:dyDescent="0.25">
      <c r="A67">
        <v>66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>
        <v>0</v>
      </c>
      <c r="K67" t="str">
        <f xml:space="preserve"> IF(COUNTIF($D$2:$D835,D67)&gt;1,"duplicated","original")</f>
        <v>duplicated</v>
      </c>
      <c r="L67" s="2">
        <f>COUNTIF($D$2:$D67,D67)</f>
        <v>4</v>
      </c>
      <c r="M67" t="str">
        <f xml:space="preserve"> IF(COUNTIF($I$2:$I821,I67)&gt;1,"duplicated","original")</f>
        <v>duplicated</v>
      </c>
      <c r="N67" s="2">
        <f>COUNTIF($I$2:$I67,I67)</f>
        <v>4</v>
      </c>
      <c r="O67" s="8">
        <f t="shared" si="4"/>
        <v>2.2325759379236296</v>
      </c>
      <c r="P67" s="8">
        <f t="shared" si="5"/>
        <v>1.1067824945521474</v>
      </c>
      <c r="Q67">
        <v>52</v>
      </c>
      <c r="R67" s="9">
        <f t="shared" si="3"/>
        <v>-0.87245797541326753</v>
      </c>
      <c r="S67">
        <v>22</v>
      </c>
      <c r="T67" s="9">
        <f t="shared" ref="T67:T130" si="6">STANDARDIZE($I67,$U$8,$U$26)</f>
        <v>-1.8979378120090682</v>
      </c>
    </row>
    <row r="68" spans="1:20" x14ac:dyDescent="0.25">
      <c r="A68">
        <v>67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>
        <v>1</v>
      </c>
      <c r="K68" t="str">
        <f xml:space="preserve"> IF(COUNTIF($D$2:$D836,D68)&gt;1,"duplicated","original")</f>
        <v>duplicated</v>
      </c>
      <c r="L68" s="2">
        <f>COUNTIF($D$2:$D68,D68)</f>
        <v>3</v>
      </c>
      <c r="M68" t="str">
        <f xml:space="preserve"> IF(COUNTIF($I$2:$I836,I68)&gt;1,"duplicated","original")</f>
        <v>duplicated</v>
      </c>
      <c r="N68" s="2">
        <f>COUNTIF($I$2:$I68,I68)</f>
        <v>2</v>
      </c>
      <c r="O68" s="8">
        <f t="shared" si="4"/>
        <v>4.3571085961444176</v>
      </c>
      <c r="P68" s="8">
        <f t="shared" si="5"/>
        <v>2.1851847770275459</v>
      </c>
      <c r="Q68">
        <v>52</v>
      </c>
      <c r="R68" s="9">
        <f t="shared" si="3"/>
        <v>-0.87245797541326753</v>
      </c>
      <c r="S68">
        <v>22</v>
      </c>
      <c r="T68" s="9">
        <f t="shared" si="6"/>
        <v>-1.5902938610303279</v>
      </c>
    </row>
    <row r="69" spans="1:20" x14ac:dyDescent="0.25">
      <c r="A69">
        <v>68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>
        <v>0</v>
      </c>
      <c r="K69" t="str">
        <f xml:space="preserve"> IF(COUNTIF($D$2:$D823,$D$3)&gt;1,"duplicated","original")</f>
        <v>duplicated</v>
      </c>
      <c r="L69" s="2">
        <f>COUNTIF($D$2:$D69,D69)</f>
        <v>5</v>
      </c>
      <c r="M69" t="str">
        <f xml:space="preserve"> IF(COUNTIF($I$2:$I837,I69)&gt;1,"duplicated","original")</f>
        <v>duplicated</v>
      </c>
      <c r="N69" s="2">
        <f>COUNTIF($I$2:$I69,I69)</f>
        <v>3</v>
      </c>
      <c r="O69" s="8">
        <f t="shared" si="4"/>
        <v>4.7942043467707522</v>
      </c>
      <c r="P69" s="8">
        <f t="shared" si="5"/>
        <v>4.5579636362912028</v>
      </c>
      <c r="Q69">
        <v>52</v>
      </c>
      <c r="R69" s="9">
        <f t="shared" ref="R69:R132" si="7">STANDARDIZE($Q69,$U$8,$U$26)</f>
        <v>-0.87245797541326753</v>
      </c>
      <c r="S69">
        <v>22</v>
      </c>
      <c r="T69" s="9">
        <f t="shared" si="6"/>
        <v>-0.76990999175368746</v>
      </c>
    </row>
    <row r="70" spans="1:20" x14ac:dyDescent="0.25">
      <c r="A70">
        <v>69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>
        <v>0</v>
      </c>
      <c r="K70" t="str">
        <f xml:space="preserve"> IF(COUNTIF($D$2:$D838,D70)&gt;1,"duplicated","original")</f>
        <v>duplicated</v>
      </c>
      <c r="L70" s="2">
        <f>COUNTIF($D$2:$D70,D70)</f>
        <v>9</v>
      </c>
      <c r="M70" t="str">
        <f xml:space="preserve"> IF(COUNTIF($I$2:$I838,I70)&gt;1,"duplicated","original")</f>
        <v>duplicated</v>
      </c>
      <c r="N70" s="2">
        <f>COUNTIF($I$2:$I70,I70)</f>
        <v>2</v>
      </c>
      <c r="O70" s="8">
        <f t="shared" si="4"/>
        <v>1.7365496484133203</v>
      </c>
      <c r="P70" s="8">
        <f t="shared" si="5"/>
        <v>2.8679204121186967</v>
      </c>
      <c r="Q70">
        <v>52</v>
      </c>
      <c r="R70" s="9">
        <f t="shared" si="7"/>
        <v>-0.87245797541326753</v>
      </c>
      <c r="S70">
        <v>22</v>
      </c>
      <c r="T70" s="9">
        <f t="shared" si="6"/>
        <v>-2.2568557548175985</v>
      </c>
    </row>
    <row r="71" spans="1:20" x14ac:dyDescent="0.25">
      <c r="A71">
        <v>70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>
        <v>0</v>
      </c>
      <c r="K71" t="str">
        <f xml:space="preserve"> IF(COUNTIF($D$2:$D839,D71)&gt;1,"duplicated","original")</f>
        <v>duplicated</v>
      </c>
      <c r="L71" s="2">
        <f>COUNTIF($D$2:$D71,D71)</f>
        <v>1</v>
      </c>
      <c r="M71" t="str">
        <f xml:space="preserve"> IF(COUNTIF($I$2:$I825,I71)&gt;1,"duplicated","original")</f>
        <v>duplicated</v>
      </c>
      <c r="N71" s="2">
        <f>COUNTIF($I$2:$I71,I71)</f>
        <v>3</v>
      </c>
      <c r="O71" s="8">
        <f t="shared" si="4"/>
        <v>3.9980489389945659</v>
      </c>
      <c r="P71" s="8">
        <f t="shared" si="5"/>
        <v>2.4949884749727951</v>
      </c>
      <c r="Q71">
        <v>52</v>
      </c>
      <c r="R71" s="9">
        <f t="shared" si="7"/>
        <v>-0.87245797541326753</v>
      </c>
      <c r="S71">
        <v>22</v>
      </c>
      <c r="T71" s="9">
        <f t="shared" si="6"/>
        <v>-2.1543077711580185</v>
      </c>
    </row>
    <row r="72" spans="1:20" x14ac:dyDescent="0.25">
      <c r="A72">
        <v>71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>
        <v>1</v>
      </c>
      <c r="K72" t="str">
        <f xml:space="preserve"> IF(COUNTIF($D$2:$D826,$D$3)&gt;1,"duplicated","original")</f>
        <v>duplicated</v>
      </c>
      <c r="L72" s="2">
        <f>COUNTIF($D$2:$D72,D72)</f>
        <v>10</v>
      </c>
      <c r="M72" t="str">
        <f xml:space="preserve"> IF(COUNTIF($I$2:$I840,I72)&gt;1,"duplicated","original")</f>
        <v>duplicated</v>
      </c>
      <c r="N72" s="2">
        <f>COUNTIF($I$2:$I72,I72)</f>
        <v>3</v>
      </c>
      <c r="O72" s="8">
        <f t="shared" si="4"/>
        <v>1.7365496484133203</v>
      </c>
      <c r="P72" s="8">
        <f t="shared" si="5"/>
        <v>2.2858187789601945</v>
      </c>
      <c r="Q72">
        <v>52</v>
      </c>
      <c r="R72" s="9">
        <f t="shared" si="7"/>
        <v>-0.87245797541326753</v>
      </c>
      <c r="S72">
        <v>22</v>
      </c>
      <c r="T72" s="9">
        <f t="shared" si="6"/>
        <v>-2.1030337793282281</v>
      </c>
    </row>
    <row r="73" spans="1:20" x14ac:dyDescent="0.25">
      <c r="A73">
        <v>72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>
        <v>0</v>
      </c>
      <c r="K73" t="str">
        <f xml:space="preserve"> IF(COUNTIF($D$2:$D841,D73)&gt;1,"duplicated","original")</f>
        <v>duplicated</v>
      </c>
      <c r="L73" s="2">
        <f>COUNTIF($D$2:$D73,D73)</f>
        <v>5</v>
      </c>
      <c r="M73" t="str">
        <f xml:space="preserve"> IF(COUNTIF($I$2:$I841,I73)&gt;1,"duplicated","original")</f>
        <v>duplicated</v>
      </c>
      <c r="N73" s="2">
        <f>COUNTIF($I$2:$I73,I73)</f>
        <v>4</v>
      </c>
      <c r="O73" s="8">
        <f t="shared" si="4"/>
        <v>2.2395545720978594</v>
      </c>
      <c r="P73" s="8">
        <f t="shared" si="5"/>
        <v>2.6879299637912952</v>
      </c>
      <c r="Q73">
        <v>52</v>
      </c>
      <c r="R73" s="9">
        <f t="shared" si="7"/>
        <v>-0.87245797541326753</v>
      </c>
      <c r="S73">
        <v>22</v>
      </c>
      <c r="T73" s="9">
        <f t="shared" si="6"/>
        <v>-2.2055817629878085</v>
      </c>
    </row>
    <row r="74" spans="1:20" x14ac:dyDescent="0.25">
      <c r="A74">
        <v>73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>
        <v>1</v>
      </c>
      <c r="K74" t="str">
        <f xml:space="preserve"> IF(COUNTIF($D$2:$D842,D74)&gt;1,"duplicated","original")</f>
        <v>duplicated</v>
      </c>
      <c r="L74" s="2">
        <f>COUNTIF($D$2:$D74,D74)</f>
        <v>3</v>
      </c>
      <c r="M74" t="str">
        <f xml:space="preserve"> IF(COUNTIF($I$2:$I842,I74)&gt;1,"duplicated","original")</f>
        <v>duplicated</v>
      </c>
      <c r="N74" s="2">
        <f>COUNTIF($I$2:$I74,I74)</f>
        <v>3</v>
      </c>
      <c r="O74" s="8">
        <f t="shared" si="4"/>
        <v>4.5808727682173815</v>
      </c>
      <c r="P74" s="8">
        <f t="shared" si="5"/>
        <v>2.9622681360324097</v>
      </c>
      <c r="Q74">
        <v>52</v>
      </c>
      <c r="R74" s="9">
        <f t="shared" si="7"/>
        <v>-0.87245797541326753</v>
      </c>
      <c r="S74">
        <v>22</v>
      </c>
      <c r="T74" s="9">
        <f t="shared" si="6"/>
        <v>-1.385197893711168</v>
      </c>
    </row>
    <row r="75" spans="1:20" x14ac:dyDescent="0.25">
      <c r="A75">
        <v>74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>
        <v>0</v>
      </c>
      <c r="K75" t="str">
        <f xml:space="preserve"> IF(COUNTIF($D$2:$D829,$D$3)&gt;1,"duplicated","original")</f>
        <v>duplicated</v>
      </c>
      <c r="L75" s="2">
        <f>COUNTIF($D$2:$D75,D75)</f>
        <v>1</v>
      </c>
      <c r="M75" t="str">
        <f xml:space="preserve"> IF(COUNTIF($I$2:$I829,I75)&gt;1,"duplicated","original")</f>
        <v>duplicated</v>
      </c>
      <c r="N75" s="2">
        <f>COUNTIF($I$2:$I75,I75)</f>
        <v>1</v>
      </c>
      <c r="O75" s="8">
        <f t="shared" si="4"/>
        <v>4.121212845582666</v>
      </c>
      <c r="P75" s="8">
        <f t="shared" si="5"/>
        <v>3.1976503076864229</v>
      </c>
      <c r="Q75">
        <v>52</v>
      </c>
      <c r="R75" s="9">
        <f t="shared" si="7"/>
        <v>-0.87245797541326753</v>
      </c>
      <c r="S75">
        <v>22</v>
      </c>
      <c r="T75" s="9">
        <f t="shared" si="6"/>
        <v>-2.3594037384771784</v>
      </c>
    </row>
    <row r="76" spans="1:20" x14ac:dyDescent="0.25">
      <c r="A76">
        <v>75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>
        <v>0</v>
      </c>
      <c r="K76" t="str">
        <f xml:space="preserve"> IF(COUNTIF($D$2:$D844,D76)&gt;1,"duplicated","original")</f>
        <v>duplicated</v>
      </c>
      <c r="L76" s="2">
        <f>COUNTIF($D$2:$D76,D76)</f>
        <v>2</v>
      </c>
      <c r="M76" t="str">
        <f xml:space="preserve"> IF(COUNTIF($I$2:$I844,I76)&gt;1,"duplicated","original")</f>
        <v>duplicated</v>
      </c>
      <c r="N76" s="2">
        <f>COUNTIF($I$2:$I76,I76)</f>
        <v>6</v>
      </c>
      <c r="O76" s="8">
        <f t="shared" si="4"/>
        <v>2.4463023767710266</v>
      </c>
      <c r="P76" s="8">
        <f t="shared" si="5"/>
        <v>3.3503682618851132</v>
      </c>
      <c r="Q76">
        <v>52</v>
      </c>
      <c r="R76" s="9">
        <f t="shared" si="7"/>
        <v>-0.87245797541326753</v>
      </c>
      <c r="S76">
        <v>22</v>
      </c>
      <c r="T76" s="9">
        <f t="shared" si="6"/>
        <v>-2.4106777303069684</v>
      </c>
    </row>
    <row r="77" spans="1:20" x14ac:dyDescent="0.25">
      <c r="A77">
        <v>76</v>
      </c>
      <c r="B77">
        <v>1</v>
      </c>
      <c r="C77">
        <v>0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>
        <v>0</v>
      </c>
      <c r="K77" t="str">
        <f xml:space="preserve"> IF(COUNTIF($D$2:$D845,D77)&gt;1,"duplicated","original")</f>
        <v>duplicated</v>
      </c>
      <c r="L77" s="2">
        <f>COUNTIF($D$2:$D77,D77)</f>
        <v>1</v>
      </c>
      <c r="M77" t="str">
        <f xml:space="preserve"> IF(COUNTIF($I$2:$I845,I77)&gt;1,"duplicated","original")</f>
        <v>duplicated</v>
      </c>
      <c r="N77" s="2">
        <f>COUNTIF($I$2:$I77,I77)</f>
        <v>7</v>
      </c>
      <c r="O77" s="8">
        <f t="shared" si="4"/>
        <v>4.5842779891062921</v>
      </c>
      <c r="P77" s="8">
        <f t="shared" si="5"/>
        <v>3.3503682618851132</v>
      </c>
      <c r="Q77">
        <v>52</v>
      </c>
      <c r="R77" s="9">
        <f t="shared" si="7"/>
        <v>-0.87245797541326753</v>
      </c>
      <c r="S77">
        <v>22</v>
      </c>
      <c r="T77" s="9">
        <f t="shared" si="6"/>
        <v>-2.4106777303069684</v>
      </c>
    </row>
    <row r="78" spans="1:20" x14ac:dyDescent="0.25">
      <c r="A78">
        <v>77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>
        <v>0</v>
      </c>
      <c r="K78" t="str">
        <f xml:space="preserve"> IF(COUNTIF($D$2:$D832,$D$3)&gt;1,"duplicated","original")</f>
        <v>duplicated</v>
      </c>
      <c r="L78" s="2">
        <f>COUNTIF($D$2:$D78,D78)</f>
        <v>2</v>
      </c>
      <c r="M78" t="str">
        <f xml:space="preserve"> IF(COUNTIF($I$2:$I846,I78)&gt;1,"duplicated","original")</f>
        <v>duplicated</v>
      </c>
      <c r="N78" s="2">
        <f>COUNTIF($I$2:$I78,I78)</f>
        <v>4</v>
      </c>
      <c r="O78" s="8">
        <f t="shared" si="4"/>
        <v>2.9973980914445737</v>
      </c>
      <c r="P78" s="8">
        <f t="shared" si="5"/>
        <v>2.7883745282427403</v>
      </c>
      <c r="Q78">
        <v>54</v>
      </c>
      <c r="R78" s="9">
        <f t="shared" si="7"/>
        <v>-0.76990999175368746</v>
      </c>
      <c r="S78">
        <v>22</v>
      </c>
      <c r="T78" s="9">
        <f t="shared" si="6"/>
        <v>-1.4364718855409579</v>
      </c>
    </row>
    <row r="79" spans="1:20" x14ac:dyDescent="0.25">
      <c r="A79">
        <v>78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>
        <v>0</v>
      </c>
      <c r="K79" t="str">
        <f xml:space="preserve"> IF(COUNTIF($D$2:$D847,D79)&gt;1,"duplicated","original")</f>
        <v>duplicated</v>
      </c>
      <c r="L79" s="2">
        <f>COUNTIF($D$2:$D79,D79)</f>
        <v>5</v>
      </c>
      <c r="M79" t="str">
        <f xml:space="preserve"> IF(COUNTIF($I$2:$I833,I79)&gt;1,"duplicated","original")</f>
        <v>duplicated</v>
      </c>
      <c r="N79" s="2">
        <f>COUNTIF($I$2:$I79,I79)</f>
        <v>4</v>
      </c>
      <c r="O79" s="8">
        <f t="shared" si="4"/>
        <v>1.7275402509335562</v>
      </c>
      <c r="P79" s="8">
        <f t="shared" si="5"/>
        <v>2.4949884749727951</v>
      </c>
      <c r="Q79">
        <v>54</v>
      </c>
      <c r="R79" s="9">
        <f t="shared" si="7"/>
        <v>-0.76990999175368746</v>
      </c>
      <c r="S79">
        <v>22</v>
      </c>
      <c r="T79" s="9">
        <f t="shared" si="6"/>
        <v>-2.1543077711580185</v>
      </c>
    </row>
    <row r="80" spans="1:20" x14ac:dyDescent="0.25">
      <c r="A80">
        <v>79</v>
      </c>
      <c r="B80">
        <v>0</v>
      </c>
      <c r="C80">
        <v>131</v>
      </c>
      <c r="D80">
        <v>0</v>
      </c>
      <c r="E80">
        <v>0</v>
      </c>
      <c r="F80">
        <v>0</v>
      </c>
      <c r="G80">
        <v>43.2</v>
      </c>
      <c r="H80">
        <v>0.27</v>
      </c>
      <c r="I80">
        <v>26</v>
      </c>
      <c r="J80">
        <v>1</v>
      </c>
      <c r="K80" t="str">
        <f xml:space="preserve"> IF(COUNTIF($D$2:$D848,D80)&gt;1,"duplicated","original")</f>
        <v>duplicated</v>
      </c>
      <c r="L80" s="2">
        <f>COUNTIF($D$2:$D80,D80)</f>
        <v>5</v>
      </c>
      <c r="M80" t="str">
        <f xml:space="preserve"> IF(COUNTIF($I$2:$I848,I80)&gt;1,"duplicated","original")</f>
        <v>duplicated</v>
      </c>
      <c r="N80" s="2">
        <f>COUNTIF($I$2:$I80,I80)</f>
        <v>5</v>
      </c>
      <c r="O80" s="8">
        <f t="shared" si="4"/>
        <v>8.3075631012592623</v>
      </c>
      <c r="P80" s="8">
        <f t="shared" si="5"/>
        <v>2.6879299637912952</v>
      </c>
      <c r="Q80">
        <v>54</v>
      </c>
      <c r="R80" s="9">
        <f t="shared" si="7"/>
        <v>-0.76990999175368746</v>
      </c>
      <c r="S80">
        <v>22</v>
      </c>
      <c r="T80" s="9">
        <f t="shared" si="6"/>
        <v>-2.2055817629878085</v>
      </c>
    </row>
    <row r="81" spans="1:20" x14ac:dyDescent="0.25">
      <c r="A81">
        <v>80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>
        <v>0</v>
      </c>
      <c r="K81" t="str">
        <f xml:space="preserve"> IF(COUNTIF($D$2:$D835,$D$3)&gt;1,"duplicated","original")</f>
        <v>duplicated</v>
      </c>
      <c r="L81" s="2">
        <f>COUNTIF($D$2:$D81,D81)</f>
        <v>11</v>
      </c>
      <c r="M81" t="str">
        <f xml:space="preserve"> IF(COUNTIF($I$2:$I849,I81)&gt;1,"duplicated","original")</f>
        <v>duplicated</v>
      </c>
      <c r="N81" s="2">
        <f>COUNTIF($I$2:$I81,I81)</f>
        <v>3</v>
      </c>
      <c r="O81" s="8">
        <f t="shared" si="4"/>
        <v>1.7365496484133203</v>
      </c>
      <c r="P81" s="8">
        <f t="shared" si="5"/>
        <v>3.0372631578852487</v>
      </c>
      <c r="Q81">
        <v>54</v>
      </c>
      <c r="R81" s="9">
        <f t="shared" si="7"/>
        <v>-0.76990999175368746</v>
      </c>
      <c r="S81">
        <v>22</v>
      </c>
      <c r="T81" s="9">
        <f t="shared" si="6"/>
        <v>-2.3081297466473885</v>
      </c>
    </row>
    <row r="82" spans="1:20" x14ac:dyDescent="0.25">
      <c r="A82">
        <v>81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>
        <v>0</v>
      </c>
      <c r="K82" t="str">
        <f xml:space="preserve"> IF(COUNTIF($D$2:$D850,D82)&gt;1,"duplicated","original")</f>
        <v>duplicated</v>
      </c>
      <c r="L82" s="2">
        <f>COUNTIF($D$2:$D82,D82)</f>
        <v>1</v>
      </c>
      <c r="M82" t="str">
        <f xml:space="preserve"> IF(COUNTIF($I$2:$I850,I82)&gt;1,"duplicated","original")</f>
        <v>duplicated</v>
      </c>
      <c r="N82" s="2">
        <f>COUNTIF($I$2:$I82,I82)</f>
        <v>8</v>
      </c>
      <c r="O82" s="8">
        <f t="shared" si="4"/>
        <v>5.0015602247103281</v>
      </c>
      <c r="P82" s="8">
        <f t="shared" si="5"/>
        <v>3.3503682618851132</v>
      </c>
      <c r="Q82">
        <v>54</v>
      </c>
      <c r="R82" s="9">
        <f t="shared" si="7"/>
        <v>-0.76990999175368746</v>
      </c>
      <c r="S82">
        <v>22</v>
      </c>
      <c r="T82" s="9">
        <f t="shared" si="6"/>
        <v>-2.4106777303069684</v>
      </c>
    </row>
    <row r="83" spans="1:20" x14ac:dyDescent="0.25">
      <c r="A83">
        <v>82</v>
      </c>
      <c r="B83">
        <v>2</v>
      </c>
      <c r="C83">
        <v>74</v>
      </c>
      <c r="D83">
        <v>0</v>
      </c>
      <c r="E83">
        <v>0</v>
      </c>
      <c r="F83">
        <v>0</v>
      </c>
      <c r="G83">
        <v>0</v>
      </c>
      <c r="H83">
        <v>0.10199999999999999</v>
      </c>
      <c r="I83">
        <v>22</v>
      </c>
      <c r="J83">
        <v>0</v>
      </c>
      <c r="K83" t="str">
        <f xml:space="preserve"> IF(COUNTIF($D$2:$D851,D83)&gt;1,"duplicated","original")</f>
        <v>duplicated</v>
      </c>
      <c r="L83" s="2">
        <f>COUNTIF($D$2:$D83,D83)</f>
        <v>6</v>
      </c>
      <c r="M83" t="str">
        <f xml:space="preserve"> IF(COUNTIF($I$2:$I837,I83)&gt;1,"duplicated","original")</f>
        <v>duplicated</v>
      </c>
      <c r="N83" s="2">
        <f>COUNTIF($I$2:$I83,I83)</f>
        <v>9</v>
      </c>
      <c r="O83" s="8">
        <f t="shared" si="4"/>
        <v>8.3075631012592623</v>
      </c>
      <c r="P83" s="8">
        <f t="shared" si="5"/>
        <v>3.3503682618851132</v>
      </c>
      <c r="Q83">
        <v>54</v>
      </c>
      <c r="R83" s="9">
        <f t="shared" si="7"/>
        <v>-0.76990999175368746</v>
      </c>
      <c r="S83">
        <v>22</v>
      </c>
      <c r="T83" s="9">
        <f t="shared" si="6"/>
        <v>-2.4106777303069684</v>
      </c>
    </row>
    <row r="84" spans="1:20" x14ac:dyDescent="0.25">
      <c r="A84">
        <v>83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>
        <v>0</v>
      </c>
      <c r="K84" t="str">
        <f xml:space="preserve"> IF(COUNTIF($D$2:$D838,$D$3)&gt;1,"duplicated","original")</f>
        <v>duplicated</v>
      </c>
      <c r="L84" s="2">
        <f>COUNTIF($D$2:$D84,D84)</f>
        <v>3</v>
      </c>
      <c r="M84" t="str">
        <f xml:space="preserve"> IF(COUNTIF($I$2:$I852,I84)&gt;1,"duplicated","original")</f>
        <v>duplicated</v>
      </c>
      <c r="N84" s="2">
        <f>COUNTIF($I$2:$I84,I84)</f>
        <v>2</v>
      </c>
      <c r="O84" s="8">
        <f t="shared" si="4"/>
        <v>2.9973980914445737</v>
      </c>
      <c r="P84" s="8">
        <f t="shared" si="5"/>
        <v>1.6658428826731906</v>
      </c>
      <c r="Q84">
        <v>54</v>
      </c>
      <c r="R84" s="9">
        <f t="shared" si="7"/>
        <v>-0.76990999175368746</v>
      </c>
      <c r="S84">
        <v>22</v>
      </c>
      <c r="T84" s="9">
        <f t="shared" si="6"/>
        <v>-1.6928418446899081</v>
      </c>
    </row>
    <row r="85" spans="1:20" x14ac:dyDescent="0.25">
      <c r="A85">
        <v>84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>
        <v>0</v>
      </c>
      <c r="K85" t="str">
        <f xml:space="preserve"> IF(COUNTIF($D$2:$D853,D85)&gt;1,"duplicated","original")</f>
        <v>duplicated</v>
      </c>
      <c r="L85" s="2">
        <f>COUNTIF($D$2:$D85,D85)</f>
        <v>1</v>
      </c>
      <c r="M85" t="str">
        <f xml:space="preserve"> IF(COUNTIF($I$2:$I853,I85)&gt;1,"duplicated","original")</f>
        <v>duplicated</v>
      </c>
      <c r="N85" s="2">
        <f>COUNTIF($I$2:$I85,I85)</f>
        <v>10</v>
      </c>
      <c r="O85" s="8">
        <f t="shared" si="4"/>
        <v>2.0038973729720855</v>
      </c>
      <c r="P85" s="8">
        <f t="shared" si="5"/>
        <v>3.3503682618851132</v>
      </c>
      <c r="Q85">
        <v>54</v>
      </c>
      <c r="R85" s="9">
        <f t="shared" si="7"/>
        <v>-0.76990999175368746</v>
      </c>
      <c r="S85">
        <v>22</v>
      </c>
      <c r="T85" s="9">
        <f t="shared" si="6"/>
        <v>-2.4106777303069684</v>
      </c>
    </row>
    <row r="86" spans="1:20" x14ac:dyDescent="0.25">
      <c r="A86">
        <v>85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>
        <v>1</v>
      </c>
      <c r="K86" t="str">
        <f xml:space="preserve"> IF(COUNTIF($D$2:$D854,D86)&gt;1,"duplicated","original")</f>
        <v>duplicated</v>
      </c>
      <c r="L86" s="2">
        <f>COUNTIF($D$2:$D86,D86)</f>
        <v>1</v>
      </c>
      <c r="M86" t="str">
        <f xml:space="preserve"> IF(COUNTIF($I$2:$I854,I86)&gt;1,"duplicated","original")</f>
        <v>duplicated</v>
      </c>
      <c r="N86" s="2">
        <f>COUNTIF($I$2:$I86,I86)</f>
        <v>2</v>
      </c>
      <c r="O86" s="8">
        <f t="shared" si="4"/>
        <v>6.2437484989864522</v>
      </c>
      <c r="P86" s="8">
        <f t="shared" si="5"/>
        <v>1.9429442888958308</v>
      </c>
      <c r="Q86">
        <v>54</v>
      </c>
      <c r="R86" s="9">
        <f t="shared" si="7"/>
        <v>-0.76990999175368746</v>
      </c>
      <c r="S86">
        <v>22</v>
      </c>
      <c r="T86" s="9">
        <f t="shared" si="6"/>
        <v>-1.6415678528601181</v>
      </c>
    </row>
    <row r="87" spans="1:20" x14ac:dyDescent="0.25">
      <c r="A87">
        <v>86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>
        <v>0</v>
      </c>
      <c r="K87" t="str">
        <f xml:space="preserve"> IF(COUNTIF($D$2:$D841,$D$3)&gt;1,"duplicated","original")</f>
        <v>duplicated</v>
      </c>
      <c r="L87" s="2">
        <f>COUNTIF($D$2:$D87,D87)</f>
        <v>5</v>
      </c>
      <c r="M87" t="str">
        <f xml:space="preserve"> IF(COUNTIF($I$2:$I841,I87)&gt;1,"duplicated","original")</f>
        <v>duplicated</v>
      </c>
      <c r="N87" s="2">
        <f>COUNTIF($I$2:$I87,I87)</f>
        <v>5</v>
      </c>
      <c r="O87" s="8">
        <f t="shared" si="4"/>
        <v>2.2325759379236296</v>
      </c>
      <c r="P87" s="8">
        <f t="shared" si="5"/>
        <v>2.4949884749727951</v>
      </c>
      <c r="Q87">
        <v>54</v>
      </c>
      <c r="R87" s="9">
        <f t="shared" si="7"/>
        <v>-0.76990999175368746</v>
      </c>
      <c r="S87">
        <v>22</v>
      </c>
      <c r="T87" s="9">
        <f t="shared" si="6"/>
        <v>-2.1543077711580185</v>
      </c>
    </row>
    <row r="88" spans="1:20" x14ac:dyDescent="0.25">
      <c r="A88">
        <v>87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>
        <v>0</v>
      </c>
      <c r="K88" t="str">
        <f xml:space="preserve"> IF(COUNTIF($D$2:$D856,D88)&gt;1,"duplicated","original")</f>
        <v>duplicated</v>
      </c>
      <c r="L88" s="2">
        <f>COUNTIF($D$2:$D88,D88)</f>
        <v>6</v>
      </c>
      <c r="M88" t="str">
        <f xml:space="preserve"> IF(COUNTIF($I$2:$I856,I88)&gt;1,"duplicated","original")</f>
        <v>duplicated</v>
      </c>
      <c r="N88" s="2">
        <f>COUNTIF($I$2:$I88,I88)</f>
        <v>2</v>
      </c>
      <c r="O88" s="8">
        <f t="shared" si="4"/>
        <v>1.7275402509335562</v>
      </c>
      <c r="P88" s="8">
        <f t="shared" si="5"/>
        <v>3.4314767243495803</v>
      </c>
      <c r="Q88">
        <v>54</v>
      </c>
      <c r="R88" s="9">
        <f t="shared" si="7"/>
        <v>-0.76990999175368746</v>
      </c>
      <c r="S88">
        <v>22</v>
      </c>
      <c r="T88" s="9">
        <f t="shared" si="6"/>
        <v>-1.2313759182217978</v>
      </c>
    </row>
    <row r="89" spans="1:20" x14ac:dyDescent="0.25">
      <c r="A89">
        <v>88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>
        <v>0</v>
      </c>
      <c r="K89" t="str">
        <f xml:space="preserve"> IF(COUNTIF($D$2:$D857,D89)&gt;1,"duplicated","original")</f>
        <v>duplicated</v>
      </c>
      <c r="L89" s="2">
        <f>COUNTIF($D$2:$D89,D89)</f>
        <v>3</v>
      </c>
      <c r="M89" t="str">
        <f xml:space="preserve"> IF(COUNTIF($I$2:$I857,I89)&gt;1,"duplicated","original")</f>
        <v>duplicated</v>
      </c>
      <c r="N89" s="2">
        <f>COUNTIF($I$2:$I89,I89)</f>
        <v>6</v>
      </c>
      <c r="O89" s="8">
        <f t="shared" si="4"/>
        <v>1.0077721376404618</v>
      </c>
      <c r="P89" s="8">
        <f t="shared" si="5"/>
        <v>2.6879299637912952</v>
      </c>
      <c r="Q89">
        <v>55</v>
      </c>
      <c r="R89" s="9">
        <f t="shared" si="7"/>
        <v>-0.71863599992389748</v>
      </c>
      <c r="S89">
        <v>22</v>
      </c>
      <c r="T89" s="9">
        <f t="shared" si="6"/>
        <v>-2.2055817629878085</v>
      </c>
    </row>
    <row r="90" spans="1:20" x14ac:dyDescent="0.25">
      <c r="A90">
        <v>89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>
        <v>1</v>
      </c>
      <c r="K90" t="str">
        <f xml:space="preserve"> IF(COUNTIF($D$2:$D844,$D$3)&gt;1,"duplicated","original")</f>
        <v>duplicated</v>
      </c>
      <c r="L90" s="2">
        <f>COUNTIF($D$2:$D90,D90)</f>
        <v>5</v>
      </c>
      <c r="M90" t="str">
        <f xml:space="preserve"> IF(COUNTIF($I$2:$I858,I90)&gt;1,"duplicated","original")</f>
        <v>duplicated</v>
      </c>
      <c r="N90" s="2">
        <f>COUNTIF($I$2:$I90,I90)</f>
        <v>2</v>
      </c>
      <c r="O90" s="8">
        <f t="shared" si="4"/>
        <v>0.99216698120607405</v>
      </c>
      <c r="P90" s="8">
        <f t="shared" si="5"/>
        <v>3.1265048392338888</v>
      </c>
      <c r="Q90">
        <v>55</v>
      </c>
      <c r="R90" s="9">
        <f t="shared" si="7"/>
        <v>-0.71863599992389748</v>
      </c>
      <c r="S90">
        <v>22</v>
      </c>
      <c r="T90" s="9">
        <f t="shared" si="6"/>
        <v>-1.3339239018813778</v>
      </c>
    </row>
    <row r="91" spans="1:20" x14ac:dyDescent="0.25">
      <c r="A91">
        <v>90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>
        <v>0</v>
      </c>
      <c r="K91" t="str">
        <f xml:space="preserve"> IF(COUNTIF($D$2:$D859,D91)&gt;1,"duplicated","original")</f>
        <v>duplicated</v>
      </c>
      <c r="L91" s="2">
        <f>COUNTIF($D$2:$D91,D91)</f>
        <v>4</v>
      </c>
      <c r="M91" t="str">
        <f xml:space="preserve"> IF(COUNTIF($I$2:$I845,I91)&gt;1,"duplicated","original")</f>
        <v>duplicated</v>
      </c>
      <c r="N91" s="2">
        <f>COUNTIF($I$2:$I91,I91)</f>
        <v>4</v>
      </c>
      <c r="O91" s="8">
        <f t="shared" si="4"/>
        <v>1.0077721376404618</v>
      </c>
      <c r="P91" s="8">
        <f t="shared" si="5"/>
        <v>3.0372631578852487</v>
      </c>
      <c r="Q91">
        <v>56</v>
      </c>
      <c r="R91" s="9">
        <f t="shared" si="7"/>
        <v>-0.6673620080941074</v>
      </c>
      <c r="S91">
        <v>22</v>
      </c>
      <c r="T91" s="9">
        <f t="shared" si="6"/>
        <v>-2.3081297466473885</v>
      </c>
    </row>
    <row r="92" spans="1:20" x14ac:dyDescent="0.25">
      <c r="A92">
        <v>91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>
        <v>0</v>
      </c>
      <c r="K92" t="str">
        <f xml:space="preserve"> IF(COUNTIF($D$2:$D860,D92)&gt;1,"duplicated","original")</f>
        <v>duplicated</v>
      </c>
      <c r="L92" s="2">
        <f>COUNTIF($D$2:$D92,D92)</f>
        <v>1</v>
      </c>
      <c r="M92" t="str">
        <f xml:space="preserve"> IF(COUNTIF($I$2:$I860,I92)&gt;1,"duplicated","original")</f>
        <v>duplicated</v>
      </c>
      <c r="N92" s="2">
        <f>COUNTIF($I$2:$I92,I92)</f>
        <v>4</v>
      </c>
      <c r="O92" s="8">
        <f t="shared" si="4"/>
        <v>3.743742069294361</v>
      </c>
      <c r="P92" s="8">
        <f t="shared" si="5"/>
        <v>3.4964220984096119</v>
      </c>
      <c r="Q92">
        <v>56</v>
      </c>
      <c r="R92" s="9">
        <f t="shared" si="7"/>
        <v>-0.6673620080941074</v>
      </c>
      <c r="S92">
        <v>22</v>
      </c>
      <c r="T92" s="9">
        <f t="shared" si="6"/>
        <v>-2.4619517221367584</v>
      </c>
    </row>
    <row r="93" spans="1:20" x14ac:dyDescent="0.25">
      <c r="A93">
        <v>92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>
        <v>0</v>
      </c>
      <c r="K93" t="str">
        <f xml:space="preserve"> IF(COUNTIF($D$2:$D847,$D$3)&gt;1,"duplicated","original")</f>
        <v>duplicated</v>
      </c>
      <c r="L93" s="2">
        <f>COUNTIF($D$2:$D93,D93)</f>
        <v>4</v>
      </c>
      <c r="M93" t="str">
        <f xml:space="preserve"> IF(COUNTIF($I$2:$I861,I93)&gt;1,"duplicated","original")</f>
        <v>duplicated</v>
      </c>
      <c r="N93" s="2">
        <f>COUNTIF($I$2:$I93,I93)</f>
        <v>2</v>
      </c>
      <c r="O93" s="8">
        <f t="shared" si="4"/>
        <v>3.3142714612106796</v>
      </c>
      <c r="P93" s="8">
        <f t="shared" si="5"/>
        <v>0.88035930718822164</v>
      </c>
      <c r="Q93">
        <v>56</v>
      </c>
      <c r="R93" s="9">
        <f t="shared" si="7"/>
        <v>-0.6673620080941074</v>
      </c>
      <c r="S93">
        <v>22</v>
      </c>
      <c r="T93" s="9">
        <f t="shared" si="6"/>
        <v>-1.795389828349488</v>
      </c>
    </row>
    <row r="94" spans="1:20" x14ac:dyDescent="0.25">
      <c r="A94">
        <v>93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>
        <v>0</v>
      </c>
      <c r="K94" t="str">
        <f xml:space="preserve"> IF(COUNTIF($D$2:$D862,D94)&gt;1,"duplicated","original")</f>
        <v>duplicated</v>
      </c>
      <c r="L94" s="2">
        <f>COUNTIF($D$2:$D94,D94)</f>
        <v>4</v>
      </c>
      <c r="M94" t="str">
        <f xml:space="preserve"> IF(COUNTIF($I$2:$I862,I94)&gt;1,"duplicated","original")</f>
        <v>duplicated</v>
      </c>
      <c r="N94" s="2">
        <f>COUNTIF($I$2:$I94,I94)</f>
        <v>4</v>
      </c>
      <c r="O94" s="8">
        <f t="shared" si="4"/>
        <v>2.9973980914445737</v>
      </c>
      <c r="P94" s="8">
        <f t="shared" si="5"/>
        <v>2.9622681360324097</v>
      </c>
      <c r="Q94">
        <v>56</v>
      </c>
      <c r="R94" s="9">
        <f t="shared" si="7"/>
        <v>-0.6673620080941074</v>
      </c>
      <c r="S94">
        <v>22</v>
      </c>
      <c r="T94" s="9">
        <f t="shared" si="6"/>
        <v>-1.385197893711168</v>
      </c>
    </row>
    <row r="95" spans="1:20" x14ac:dyDescent="0.25">
      <c r="A95">
        <v>94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>
        <v>1</v>
      </c>
      <c r="K95" t="str">
        <f xml:space="preserve"> IF(COUNTIF($D$2:$D863,D95)&gt;1,"duplicated","original")</f>
        <v>duplicated</v>
      </c>
      <c r="L95" s="2">
        <f>COUNTIF($D$2:$D95,D95)</f>
        <v>7</v>
      </c>
      <c r="M95" t="str">
        <f xml:space="preserve"> IF(COUNTIF($I$2:$I849,I95)&gt;1,"duplicated","original")</f>
        <v>duplicated</v>
      </c>
      <c r="N95" s="2">
        <f>COUNTIF($I$2:$I95,I95)</f>
        <v>2</v>
      </c>
      <c r="O95" s="8">
        <f t="shared" si="4"/>
        <v>1.7275402509335562</v>
      </c>
      <c r="P95" s="8">
        <f t="shared" si="5"/>
        <v>5.1744596345660021</v>
      </c>
      <c r="Q95">
        <v>56</v>
      </c>
      <c r="R95" s="9">
        <f t="shared" si="7"/>
        <v>-0.6673620080941074</v>
      </c>
      <c r="S95">
        <v>22</v>
      </c>
      <c r="T95" s="9">
        <f t="shared" si="6"/>
        <v>-0.46226604077494732</v>
      </c>
    </row>
    <row r="96" spans="1:20" x14ac:dyDescent="0.25">
      <c r="A96">
        <v>95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>
        <v>0</v>
      </c>
      <c r="K96" t="str">
        <f xml:space="preserve"> IF(COUNTIF($D$2:$D850,$D$3)&gt;1,"duplicated","original")</f>
        <v>duplicated</v>
      </c>
      <c r="L96" s="2">
        <f>COUNTIF($D$2:$D96,D96)</f>
        <v>3</v>
      </c>
      <c r="M96" t="str">
        <f xml:space="preserve"> IF(COUNTIF($I$2:$I864,I96)&gt;1,"duplicated","original")</f>
        <v>duplicated</v>
      </c>
      <c r="N96" s="2">
        <f>COUNTIF($I$2:$I96,I96)</f>
        <v>5</v>
      </c>
      <c r="O96" s="8">
        <f t="shared" si="4"/>
        <v>3.6033866457258754</v>
      </c>
      <c r="P96" s="8">
        <f t="shared" si="5"/>
        <v>3.4964220984096119</v>
      </c>
      <c r="Q96">
        <v>56</v>
      </c>
      <c r="R96" s="9">
        <f t="shared" si="7"/>
        <v>-0.6673620080941074</v>
      </c>
      <c r="S96">
        <v>22</v>
      </c>
      <c r="T96" s="9">
        <f t="shared" si="6"/>
        <v>-2.4619517221367584</v>
      </c>
    </row>
    <row r="97" spans="1:20" x14ac:dyDescent="0.25">
      <c r="A97">
        <v>96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>
        <v>0</v>
      </c>
      <c r="K97" t="str">
        <f xml:space="preserve"> IF(COUNTIF($D$2:$D865,D97)&gt;1,"duplicated","original")</f>
        <v>duplicated</v>
      </c>
      <c r="L97" s="2">
        <f>COUNTIF($D$2:$D97,D97)</f>
        <v>8</v>
      </c>
      <c r="M97" t="str">
        <f xml:space="preserve"> IF(COUNTIF($I$2:$I865,I97)&gt;1,"duplicated","original")</f>
        <v>duplicated</v>
      </c>
      <c r="N97" s="2">
        <f>COUNTIF($I$2:$I97,I97)</f>
        <v>2</v>
      </c>
      <c r="O97" s="8">
        <f t="shared" si="4"/>
        <v>1.7275402509335562</v>
      </c>
      <c r="P97" s="8">
        <f t="shared" si="5"/>
        <v>2.6028892619074147</v>
      </c>
      <c r="Q97">
        <v>56</v>
      </c>
      <c r="R97" s="9">
        <f t="shared" si="7"/>
        <v>-0.6673620080941074</v>
      </c>
      <c r="S97">
        <v>22</v>
      </c>
      <c r="T97" s="9">
        <f t="shared" si="6"/>
        <v>-1.4877458773707479</v>
      </c>
    </row>
    <row r="98" spans="1:20" x14ac:dyDescent="0.25">
      <c r="A98">
        <v>97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>
        <v>0</v>
      </c>
      <c r="K98" t="str">
        <f xml:space="preserve"> IF(COUNTIF($D$2:$D866,D98)&gt;1,"duplicated","original")</f>
        <v>duplicated</v>
      </c>
      <c r="L98" s="2">
        <f>COUNTIF($D$2:$D98,D98)</f>
        <v>2</v>
      </c>
      <c r="M98" t="str">
        <f xml:space="preserve"> IF(COUNTIF($I$2:$I866,I98)&gt;1,"duplicated","original")</f>
        <v>duplicated</v>
      </c>
      <c r="N98" s="2">
        <f>COUNTIF($I$2:$I98,I98)</f>
        <v>5</v>
      </c>
      <c r="O98" s="8">
        <f t="shared" si="4"/>
        <v>2.648698676974115</v>
      </c>
      <c r="P98" s="8">
        <f t="shared" si="5"/>
        <v>3.0372631578852487</v>
      </c>
      <c r="Q98">
        <v>56</v>
      </c>
      <c r="R98" s="9">
        <f t="shared" si="7"/>
        <v>-0.6673620080941074</v>
      </c>
      <c r="S98">
        <v>22</v>
      </c>
      <c r="T98" s="9">
        <f t="shared" si="6"/>
        <v>-2.3081297466473885</v>
      </c>
    </row>
    <row r="99" spans="1:20" x14ac:dyDescent="0.25">
      <c r="A99">
        <v>98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>
        <v>0</v>
      </c>
      <c r="K99" t="str">
        <f xml:space="preserve"> IF(COUNTIF($D$2:$D853,$D$3)&gt;1,"duplicated","original")</f>
        <v>duplicated</v>
      </c>
      <c r="L99" s="2">
        <f>COUNTIF($D$2:$D99,D99)</f>
        <v>2</v>
      </c>
      <c r="M99" t="str">
        <f xml:space="preserve"> IF(COUNTIF($I$2:$I853,I99)&gt;1,"duplicated","original")</f>
        <v>duplicated</v>
      </c>
      <c r="N99" s="2">
        <f>COUNTIF($I$2:$I99,I99)</f>
        <v>11</v>
      </c>
      <c r="O99" s="8">
        <f t="shared" si="4"/>
        <v>4.5842779891062921</v>
      </c>
      <c r="P99" s="8">
        <f t="shared" si="5"/>
        <v>3.3503682618851132</v>
      </c>
      <c r="Q99">
        <v>56</v>
      </c>
      <c r="R99" s="9">
        <f t="shared" si="7"/>
        <v>-0.6673620080941074</v>
      </c>
      <c r="S99">
        <v>22</v>
      </c>
      <c r="T99" s="9">
        <f t="shared" si="6"/>
        <v>-2.4106777303069684</v>
      </c>
    </row>
    <row r="100" spans="1:20" x14ac:dyDescent="0.25">
      <c r="A100">
        <v>99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>
        <v>0</v>
      </c>
      <c r="K100" t="str">
        <f xml:space="preserve"> IF(COUNTIF($D$2:$D868,D100)&gt;1,"duplicated","original")</f>
        <v>duplicated</v>
      </c>
      <c r="L100" s="2">
        <f>COUNTIF($D$2:$D100,D100)</f>
        <v>4</v>
      </c>
      <c r="M100" t="str">
        <f xml:space="preserve"> IF(COUNTIF($I$2:$I868,I100)&gt;1,"duplicated","original")</f>
        <v>duplicated</v>
      </c>
      <c r="N100" s="2">
        <f>COUNTIF($I$2:$I100,I100)</f>
        <v>2</v>
      </c>
      <c r="O100" s="8">
        <f t="shared" si="4"/>
        <v>4.3606885558824793</v>
      </c>
      <c r="P100" s="8">
        <f t="shared" si="5"/>
        <v>3.1976503076864229</v>
      </c>
      <c r="Q100">
        <v>56</v>
      </c>
      <c r="R100" s="9">
        <f t="shared" si="7"/>
        <v>-0.6673620080941074</v>
      </c>
      <c r="S100">
        <v>22</v>
      </c>
      <c r="T100" s="9">
        <f t="shared" si="6"/>
        <v>-2.3594037384771784</v>
      </c>
    </row>
    <row r="101" spans="1:20" x14ac:dyDescent="0.25">
      <c r="A101">
        <v>100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>
        <v>1</v>
      </c>
      <c r="K101" t="str">
        <f xml:space="preserve"> IF(COUNTIF($D$2:$D869,D101)&gt;1,"duplicated","original")</f>
        <v>duplicated</v>
      </c>
      <c r="L101" s="2">
        <f>COUNTIF($D$2:$D101,D101)</f>
        <v>4</v>
      </c>
      <c r="M101" t="str">
        <f xml:space="preserve"> IF(COUNTIF($I$2:$I869,I101)&gt;1,"duplicated","original")</f>
        <v>duplicated</v>
      </c>
      <c r="N101" s="2">
        <f>COUNTIF($I$2:$I101,I101)</f>
        <v>6</v>
      </c>
      <c r="O101" s="8">
        <f t="shared" si="4"/>
        <v>4.5808727682173815</v>
      </c>
      <c r="P101" s="8">
        <f t="shared" si="5"/>
        <v>1.4916324916838848</v>
      </c>
      <c r="Q101">
        <v>56</v>
      </c>
      <c r="R101" s="9">
        <f t="shared" si="7"/>
        <v>-0.6673620080941074</v>
      </c>
      <c r="S101">
        <v>22</v>
      </c>
      <c r="T101" s="9">
        <f t="shared" si="6"/>
        <v>-1.9492118038388582</v>
      </c>
    </row>
    <row r="102" spans="1:20" x14ac:dyDescent="0.25">
      <c r="A102">
        <v>101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>
        <v>1</v>
      </c>
      <c r="K102" t="str">
        <f xml:space="preserve"> IF(COUNTIF($D$2:$D856,$D$3)&gt;1,"duplicated","original")</f>
        <v>duplicated</v>
      </c>
      <c r="L102" s="2">
        <f>COUNTIF($D$2:$D102,D102)</f>
        <v>9</v>
      </c>
      <c r="M102" t="str">
        <f xml:space="preserve"> IF(COUNTIF($I$2:$I870,I102)&gt;1,"duplicated","original")</f>
        <v>duplicated</v>
      </c>
      <c r="N102" s="2">
        <f>COUNTIF($I$2:$I102,I102)</f>
        <v>4</v>
      </c>
      <c r="O102" s="8">
        <f t="shared" si="4"/>
        <v>1.7275402509335562</v>
      </c>
      <c r="P102" s="8">
        <f t="shared" si="5"/>
        <v>0.47430737949885876</v>
      </c>
      <c r="Q102">
        <v>56</v>
      </c>
      <c r="R102" s="9">
        <f t="shared" si="7"/>
        <v>-0.6673620080941074</v>
      </c>
      <c r="S102">
        <v>22</v>
      </c>
      <c r="T102" s="9">
        <f t="shared" si="6"/>
        <v>-1.8466638201792782</v>
      </c>
    </row>
    <row r="103" spans="1:20" x14ac:dyDescent="0.25">
      <c r="A103">
        <v>102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>
        <v>0</v>
      </c>
      <c r="K103" t="str">
        <f xml:space="preserve"> IF(COUNTIF($D$2:$D871,D103)&gt;1,"duplicated","original")</f>
        <v>duplicated</v>
      </c>
      <c r="L103" s="2">
        <f>COUNTIF($D$2:$D103,D103)</f>
        <v>3</v>
      </c>
      <c r="M103" t="str">
        <f xml:space="preserve"> IF(COUNTIF($I$2:$I857,I103)&gt;1,"duplicated","original")</f>
        <v>duplicated</v>
      </c>
      <c r="N103" s="2">
        <f>COUNTIF($I$2:$I103,I103)</f>
        <v>12</v>
      </c>
      <c r="O103" s="8">
        <f t="shared" si="4"/>
        <v>3.002599653867366</v>
      </c>
      <c r="P103" s="8">
        <f t="shared" si="5"/>
        <v>3.3503682618851132</v>
      </c>
      <c r="Q103">
        <v>58</v>
      </c>
      <c r="R103" s="9">
        <f t="shared" si="7"/>
        <v>-0.56481402443452733</v>
      </c>
      <c r="S103">
        <v>22</v>
      </c>
      <c r="T103" s="9">
        <f t="shared" si="6"/>
        <v>-2.4106777303069684</v>
      </c>
    </row>
    <row r="104" spans="1:20" x14ac:dyDescent="0.25">
      <c r="A104">
        <v>103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>
        <v>0</v>
      </c>
      <c r="K104" t="str">
        <f xml:space="preserve"> IF(COUNTIF($D$2:$D872,D104)&gt;1,"duplicated","original")</f>
        <v>duplicated</v>
      </c>
      <c r="L104" s="2">
        <f>COUNTIF($D$2:$D104,D104)</f>
        <v>2</v>
      </c>
      <c r="M104" t="str">
        <f xml:space="preserve"> IF(COUNTIF($I$2:$I872,I104)&gt;1,"duplicated","original")</f>
        <v>duplicated</v>
      </c>
      <c r="N104" s="2">
        <f>COUNTIF($I$2:$I104,I104)</f>
        <v>6</v>
      </c>
      <c r="O104" s="8">
        <f t="shared" si="4"/>
        <v>5.194650644518414</v>
      </c>
      <c r="P104" s="8">
        <f t="shared" si="5"/>
        <v>3.4964220984096119</v>
      </c>
      <c r="Q104">
        <v>58</v>
      </c>
      <c r="R104" s="9">
        <f t="shared" si="7"/>
        <v>-0.56481402443452733</v>
      </c>
      <c r="S104">
        <v>22</v>
      </c>
      <c r="T104" s="9">
        <f t="shared" si="6"/>
        <v>-2.4619517221367584</v>
      </c>
    </row>
    <row r="105" spans="1:20" x14ac:dyDescent="0.25">
      <c r="A105">
        <v>104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>
        <v>0</v>
      </c>
      <c r="K105" t="str">
        <f xml:space="preserve"> IF(COUNTIF($D$2:$D859,$D$3)&gt;1,"duplicated","original")</f>
        <v>duplicated</v>
      </c>
      <c r="L105" s="2">
        <f>COUNTIF($D$2:$D105,D105)</f>
        <v>10</v>
      </c>
      <c r="M105" t="str">
        <f xml:space="preserve"> IF(COUNTIF($I$2:$I873,I105)&gt;1,"duplicated","original")</f>
        <v>duplicated</v>
      </c>
      <c r="N105" s="2">
        <f>COUNTIF($I$2:$I105,I105)</f>
        <v>6</v>
      </c>
      <c r="O105" s="8">
        <f t="shared" si="4"/>
        <v>1.7275402509335562</v>
      </c>
      <c r="P105" s="8">
        <f t="shared" si="5"/>
        <v>3.0372631578852487</v>
      </c>
      <c r="Q105">
        <v>58</v>
      </c>
      <c r="R105" s="9">
        <f t="shared" si="7"/>
        <v>-0.56481402443452733</v>
      </c>
      <c r="S105">
        <v>22</v>
      </c>
      <c r="T105" s="9">
        <f t="shared" si="6"/>
        <v>-2.3081297466473885</v>
      </c>
    </row>
    <row r="106" spans="1:20" x14ac:dyDescent="0.25">
      <c r="A106">
        <v>105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>
        <v>0</v>
      </c>
      <c r="K106" t="str">
        <f xml:space="preserve"> IF(COUNTIF($D$2:$D874,D106)&gt;1,"duplicated","original")</f>
        <v>duplicated</v>
      </c>
      <c r="L106" s="2">
        <f>COUNTIF($D$2:$D106,D106)</f>
        <v>2</v>
      </c>
      <c r="M106" t="str">
        <f xml:space="preserve"> IF(COUNTIF($I$2:$I874,I106)&gt;1,"duplicated","original")</f>
        <v>duplicated</v>
      </c>
      <c r="N106" s="2">
        <f>COUNTIF($I$2:$I106,I106)</f>
        <v>6</v>
      </c>
      <c r="O106" s="8">
        <f t="shared" si="4"/>
        <v>2.0038973729720855</v>
      </c>
      <c r="P106" s="8">
        <f t="shared" si="5"/>
        <v>2.4949884749727951</v>
      </c>
      <c r="Q106">
        <v>58</v>
      </c>
      <c r="R106" s="9">
        <f t="shared" si="7"/>
        <v>-0.56481402443452733</v>
      </c>
      <c r="S106">
        <v>22</v>
      </c>
      <c r="T106" s="9">
        <f t="shared" si="6"/>
        <v>-2.1543077711580185</v>
      </c>
    </row>
    <row r="107" spans="1:20" x14ac:dyDescent="0.25">
      <c r="A107">
        <v>106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>
        <v>0</v>
      </c>
      <c r="K107" t="str">
        <f xml:space="preserve"> IF(COUNTIF($D$2:$D875,D107)&gt;1,"duplicated","original")</f>
        <v>duplicated</v>
      </c>
      <c r="L107" s="2">
        <f>COUNTIF($D$2:$D107,D107)</f>
        <v>2</v>
      </c>
      <c r="M107" t="str">
        <f xml:space="preserve"> IF(COUNTIF($I$2:$I861,I107)&gt;1,"duplicated","original")</f>
        <v>duplicated</v>
      </c>
      <c r="N107" s="2">
        <f>COUNTIF($I$2:$I107,I107)</f>
        <v>7</v>
      </c>
      <c r="O107" s="8">
        <f t="shared" si="4"/>
        <v>3.6077146064239098</v>
      </c>
      <c r="P107" s="8">
        <f t="shared" si="5"/>
        <v>3.4964220984096119</v>
      </c>
      <c r="Q107">
        <v>58</v>
      </c>
      <c r="R107" s="9">
        <f t="shared" si="7"/>
        <v>-0.56481402443452733</v>
      </c>
      <c r="S107">
        <v>22</v>
      </c>
      <c r="T107" s="9">
        <f t="shared" si="6"/>
        <v>-2.4619517221367584</v>
      </c>
    </row>
    <row r="108" spans="1:20" x14ac:dyDescent="0.25">
      <c r="A108">
        <v>107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>
        <v>0</v>
      </c>
      <c r="K108" t="str">
        <f xml:space="preserve"> IF(COUNTIF($D$2:$D862,$D$3)&gt;1,"duplicated","original")</f>
        <v>duplicated</v>
      </c>
      <c r="L108" s="2">
        <f>COUNTIF($D$2:$D108,D108)</f>
        <v>1</v>
      </c>
      <c r="M108" t="str">
        <f xml:space="preserve"> IF(COUNTIF($I$2:$I876,I108)&gt;1,"duplicated","original")</f>
        <v>duplicated</v>
      </c>
      <c r="N108" s="2">
        <f>COUNTIF($I$2:$I108,I108)</f>
        <v>7</v>
      </c>
      <c r="O108" s="8">
        <f t="shared" si="4"/>
        <v>7.2790380764628217</v>
      </c>
      <c r="P108" s="8">
        <f t="shared" si="5"/>
        <v>2.4949884749727951</v>
      </c>
      <c r="Q108">
        <v>58</v>
      </c>
      <c r="R108" s="9">
        <f t="shared" si="7"/>
        <v>-0.56481402443452733</v>
      </c>
      <c r="S108">
        <v>22</v>
      </c>
      <c r="T108" s="9">
        <f t="shared" si="6"/>
        <v>-2.1543077711580185</v>
      </c>
    </row>
    <row r="109" spans="1:20" x14ac:dyDescent="0.25">
      <c r="A109">
        <v>108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>
        <v>0</v>
      </c>
      <c r="K109" t="str">
        <f xml:space="preserve"> IF(COUNTIF($D$2:$D877,D109)&gt;1,"duplicated","original")</f>
        <v>duplicated</v>
      </c>
      <c r="L109" s="2">
        <f>COUNTIF($D$2:$D109,D109)</f>
        <v>3</v>
      </c>
      <c r="M109" t="str">
        <f xml:space="preserve"> IF(COUNTIF($I$2:$I877,I109)&gt;1,"duplicated","original")</f>
        <v>duplicated</v>
      </c>
      <c r="N109" s="2">
        <f>COUNTIF($I$2:$I109,I109)</f>
        <v>3</v>
      </c>
      <c r="O109" s="8">
        <f t="shared" si="4"/>
        <v>3.3189764508662045</v>
      </c>
      <c r="P109" s="8">
        <f t="shared" si="5"/>
        <v>1.9429442888958308</v>
      </c>
      <c r="Q109">
        <v>58</v>
      </c>
      <c r="R109" s="9">
        <f t="shared" si="7"/>
        <v>-0.56481402443452733</v>
      </c>
      <c r="S109">
        <v>22</v>
      </c>
      <c r="T109" s="9">
        <f t="shared" si="6"/>
        <v>-1.6415678528601181</v>
      </c>
    </row>
    <row r="110" spans="1:20" x14ac:dyDescent="0.25">
      <c r="A110">
        <v>109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>
        <v>0</v>
      </c>
      <c r="K110" t="str">
        <f xml:space="preserve"> IF(COUNTIF($D$2:$D878,D110)&gt;1,"duplicated","original")</f>
        <v>duplicated</v>
      </c>
      <c r="L110" s="2">
        <f>COUNTIF($D$2:$D110,D110)</f>
        <v>4</v>
      </c>
      <c r="M110" t="str">
        <f xml:space="preserve"> IF(COUNTIF($I$2:$I878,I110)&gt;1,"duplicated","original")</f>
        <v>duplicated</v>
      </c>
      <c r="N110" s="2">
        <f>COUNTIF($I$2:$I110,I110)</f>
        <v>3</v>
      </c>
      <c r="O110" s="8">
        <f t="shared" si="4"/>
        <v>3.3189764508662045</v>
      </c>
      <c r="P110" s="8">
        <f t="shared" si="5"/>
        <v>2.8679204121186967</v>
      </c>
      <c r="Q110">
        <v>58</v>
      </c>
      <c r="R110" s="9">
        <f t="shared" si="7"/>
        <v>-0.56481402443452733</v>
      </c>
      <c r="S110">
        <v>22</v>
      </c>
      <c r="T110" s="9">
        <f t="shared" si="6"/>
        <v>-2.2568557548175985</v>
      </c>
    </row>
    <row r="111" spans="1:20" x14ac:dyDescent="0.25">
      <c r="A111">
        <v>110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>
        <v>1</v>
      </c>
      <c r="K111" t="str">
        <f xml:space="preserve"> IF(COUNTIF($D$2:$D865,$D$3)&gt;1,"duplicated","original")</f>
        <v>duplicated</v>
      </c>
      <c r="L111" s="2">
        <f>COUNTIF($D$2:$D111,D111)</f>
        <v>2</v>
      </c>
      <c r="M111" t="str">
        <f xml:space="preserve"> IF(COUNTIF($I$2:$I865,I111)&gt;1,"duplicated","original")</f>
        <v>duplicated</v>
      </c>
      <c r="N111" s="2">
        <f>COUNTIF($I$2:$I111,I111)</f>
        <v>7</v>
      </c>
      <c r="O111" s="8">
        <f t="shared" si="4"/>
        <v>3.9980489389945659</v>
      </c>
      <c r="P111" s="8">
        <f t="shared" si="5"/>
        <v>3.0372631578852487</v>
      </c>
      <c r="Q111">
        <v>58</v>
      </c>
      <c r="R111" s="9">
        <f t="shared" si="7"/>
        <v>-0.56481402443452733</v>
      </c>
      <c r="S111">
        <v>22</v>
      </c>
      <c r="T111" s="9">
        <f t="shared" si="6"/>
        <v>-2.3081297466473885</v>
      </c>
    </row>
    <row r="112" spans="1:20" x14ac:dyDescent="0.25">
      <c r="A112">
        <v>111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>
        <v>1</v>
      </c>
      <c r="K112" t="str">
        <f xml:space="preserve"> IF(COUNTIF($D$2:$D880,D112)&gt;1,"duplicated","original")</f>
        <v>duplicated</v>
      </c>
      <c r="L112" s="2">
        <f>COUNTIF($D$2:$D112,D112)</f>
        <v>11</v>
      </c>
      <c r="M112" t="str">
        <f xml:space="preserve"> IF(COUNTIF($I$2:$I880,I112)&gt;1,"duplicated","original")</f>
        <v>duplicated</v>
      </c>
      <c r="N112" s="2">
        <f>COUNTIF($I$2:$I112,I112)</f>
        <v>8</v>
      </c>
      <c r="O112" s="8">
        <f t="shared" si="4"/>
        <v>1.7275402509335562</v>
      </c>
      <c r="P112" s="8">
        <f t="shared" si="5"/>
        <v>3.0372631578852487</v>
      </c>
      <c r="Q112">
        <v>58</v>
      </c>
      <c r="R112" s="9">
        <f t="shared" si="7"/>
        <v>-0.56481402443452733</v>
      </c>
      <c r="S112">
        <v>22</v>
      </c>
      <c r="T112" s="9">
        <f t="shared" si="6"/>
        <v>-2.3081297466473885</v>
      </c>
    </row>
    <row r="113" spans="1:20" x14ac:dyDescent="0.25">
      <c r="A113">
        <v>112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>
        <v>1</v>
      </c>
      <c r="K113" t="str">
        <f xml:space="preserve"> IF(COUNTIF($D$2:$D881,D113)&gt;1,"duplicated","original")</f>
        <v>duplicated</v>
      </c>
      <c r="L113" s="2">
        <f>COUNTIF($D$2:$D113,D113)</f>
        <v>3</v>
      </c>
      <c r="M113" t="str">
        <f xml:space="preserve"> IF(COUNTIF($I$2:$I881,I113)&gt;1,"duplicated","original")</f>
        <v>duplicated</v>
      </c>
      <c r="N113" s="2">
        <f>COUNTIF($I$2:$I113,I113)</f>
        <v>2</v>
      </c>
      <c r="O113" s="8">
        <f t="shared" si="4"/>
        <v>2.648698676974115</v>
      </c>
      <c r="P113" s="8">
        <f t="shared" si="5"/>
        <v>3.5742177479489028</v>
      </c>
      <c r="Q113">
        <v>58</v>
      </c>
      <c r="R113" s="9">
        <f t="shared" si="7"/>
        <v>-0.56481402443452733</v>
      </c>
      <c r="S113">
        <v>22</v>
      </c>
      <c r="T113" s="9">
        <f t="shared" si="6"/>
        <v>-1.1801019263920078</v>
      </c>
    </row>
    <row r="114" spans="1:20" x14ac:dyDescent="0.25">
      <c r="A114">
        <v>113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>
        <v>0</v>
      </c>
      <c r="K114" t="str">
        <f xml:space="preserve"> IF(COUNTIF($D$2:$D868,$D$3)&gt;1,"duplicated","original")</f>
        <v>duplicated</v>
      </c>
      <c r="L114" s="2">
        <f>COUNTIF($D$2:$D114,D114)</f>
        <v>5</v>
      </c>
      <c r="M114" t="str">
        <f xml:space="preserve"> IF(COUNTIF($I$2:$I882,I114)&gt;1,"duplicated","original")</f>
        <v>duplicated</v>
      </c>
      <c r="N114" s="2">
        <f>COUNTIF($I$2:$I114,I114)</f>
        <v>3</v>
      </c>
      <c r="O114" s="8">
        <f t="shared" si="4"/>
        <v>2.642800658126824</v>
      </c>
      <c r="P114" s="8">
        <f t="shared" si="5"/>
        <v>3.1976503076864229</v>
      </c>
      <c r="Q114">
        <v>58</v>
      </c>
      <c r="R114" s="9">
        <f t="shared" si="7"/>
        <v>-0.56481402443452733</v>
      </c>
      <c r="S114">
        <v>22</v>
      </c>
      <c r="T114" s="9">
        <f t="shared" si="6"/>
        <v>-2.3594037384771784</v>
      </c>
    </row>
    <row r="115" spans="1:20" x14ac:dyDescent="0.25">
      <c r="A115">
        <v>114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>
        <v>0</v>
      </c>
      <c r="K115" t="str">
        <f xml:space="preserve"> IF(COUNTIF($D$2:$D883,D115)&gt;1,"duplicated","original")</f>
        <v>duplicated</v>
      </c>
      <c r="L115" s="2">
        <f>COUNTIF($D$2:$D115,D115)</f>
        <v>4</v>
      </c>
      <c r="M115" t="str">
        <f xml:space="preserve"> IF(COUNTIF($I$2:$I869,I115)&gt;1,"duplicated","original")</f>
        <v>duplicated</v>
      </c>
      <c r="N115" s="2">
        <f>COUNTIF($I$2:$I115,I115)</f>
        <v>4</v>
      </c>
      <c r="O115" s="8">
        <f t="shared" si="4"/>
        <v>2.648698676974115</v>
      </c>
      <c r="P115" s="8">
        <f t="shared" si="5"/>
        <v>2.8679204121186967</v>
      </c>
      <c r="Q115">
        <v>58</v>
      </c>
      <c r="R115" s="9">
        <f t="shared" si="7"/>
        <v>-0.56481402443452733</v>
      </c>
      <c r="S115">
        <v>22</v>
      </c>
      <c r="T115" s="9">
        <f t="shared" si="6"/>
        <v>-2.2568557548175985</v>
      </c>
    </row>
    <row r="116" spans="1:20" x14ac:dyDescent="0.25">
      <c r="A116">
        <v>115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>
        <v>1</v>
      </c>
      <c r="K116" t="str">
        <f xml:space="preserve"> IF(COUNTIF($D$2:$D884,D116)&gt;1,"duplicated","original")</f>
        <v>duplicated</v>
      </c>
      <c r="L116" s="2">
        <f>COUNTIF($D$2:$D116,D116)</f>
        <v>1</v>
      </c>
      <c r="M116" t="str">
        <f xml:space="preserve"> IF(COUNTIF($I$2:$I884,I116)&gt;1,"duplicated","original")</f>
        <v>duplicated</v>
      </c>
      <c r="N116" s="2">
        <f>COUNTIF($I$2:$I116,I116)</f>
        <v>2</v>
      </c>
      <c r="O116" s="8">
        <f t="shared" si="4"/>
        <v>3.8749973782448452</v>
      </c>
      <c r="P116" s="8">
        <f t="shared" si="5"/>
        <v>2.4031297321936087</v>
      </c>
      <c r="Q116">
        <v>58</v>
      </c>
      <c r="R116" s="9">
        <f t="shared" si="7"/>
        <v>-0.56481402443452733</v>
      </c>
      <c r="S116">
        <v>22</v>
      </c>
      <c r="T116" s="9">
        <f t="shared" si="6"/>
        <v>-1.5390198692005379</v>
      </c>
    </row>
    <row r="117" spans="1:20" x14ac:dyDescent="0.25">
      <c r="A117">
        <v>116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>
        <v>1</v>
      </c>
      <c r="K117" t="str">
        <f xml:space="preserve"> IF(COUNTIF($D$2:$D871,$D$3)&gt;1,"duplicated","original")</f>
        <v>duplicated</v>
      </c>
      <c r="L117" s="2">
        <f>COUNTIF($D$2:$D117,D117)</f>
        <v>6</v>
      </c>
      <c r="M117" t="str">
        <f xml:space="preserve"> IF(COUNTIF($I$2:$I885,I117)&gt;1,"duplicated","original")</f>
        <v>duplicated</v>
      </c>
      <c r="N117" s="2">
        <f>COUNTIF($I$2:$I117,I117)</f>
        <v>1</v>
      </c>
      <c r="O117" s="8">
        <f t="shared" si="4"/>
        <v>4.7942043467707522</v>
      </c>
      <c r="P117" s="8">
        <f t="shared" si="5"/>
        <v>5.2702023215198226</v>
      </c>
      <c r="Q117">
        <v>58</v>
      </c>
      <c r="R117" s="9">
        <f t="shared" si="7"/>
        <v>-0.56481402443452733</v>
      </c>
      <c r="S117">
        <v>22</v>
      </c>
      <c r="T117" s="9">
        <f t="shared" si="6"/>
        <v>-0.41099204894515728</v>
      </c>
    </row>
    <row r="118" spans="1:20" x14ac:dyDescent="0.25">
      <c r="A118">
        <v>117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>
        <v>1</v>
      </c>
      <c r="K118" t="str">
        <f xml:space="preserve"> IF(COUNTIF($D$2:$D886,D118)&gt;1,"duplicated","original")</f>
        <v>duplicated</v>
      </c>
      <c r="L118" s="2">
        <f>COUNTIF($D$2:$D118,D118)</f>
        <v>6</v>
      </c>
      <c r="M118" t="str">
        <f xml:space="preserve"> IF(COUNTIF($I$2:$I886,I118)&gt;1,"duplicated","original")</f>
        <v>duplicated</v>
      </c>
      <c r="N118" s="2">
        <f>COUNTIF($I$2:$I118,I118)</f>
        <v>3</v>
      </c>
      <c r="O118" s="8">
        <f t="shared" si="4"/>
        <v>2.2325759379236296</v>
      </c>
      <c r="P118" s="8">
        <f t="shared" si="5"/>
        <v>2.1851847770275459</v>
      </c>
      <c r="Q118">
        <v>58</v>
      </c>
      <c r="R118" s="9">
        <f t="shared" si="7"/>
        <v>-0.56481402443452733</v>
      </c>
      <c r="S118">
        <v>22</v>
      </c>
      <c r="T118" s="9">
        <f t="shared" si="6"/>
        <v>-1.5902938610303279</v>
      </c>
    </row>
    <row r="119" spans="1:20" x14ac:dyDescent="0.25">
      <c r="A119">
        <v>118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>
        <v>0</v>
      </c>
      <c r="K119" t="str">
        <f xml:space="preserve"> IF(COUNTIF($D$2:$D887,D119)&gt;1,"duplicated","original")</f>
        <v>duplicated</v>
      </c>
      <c r="L119" s="2">
        <f>COUNTIF($D$2:$D119,D119)</f>
        <v>3</v>
      </c>
      <c r="M119" t="str">
        <f xml:space="preserve"> IF(COUNTIF($I$2:$I873,I119)&gt;1,"duplicated","original")</f>
        <v>duplicated</v>
      </c>
      <c r="N119" s="2">
        <f>COUNTIF($I$2:$I119,I119)</f>
        <v>5</v>
      </c>
      <c r="O119" s="8">
        <f t="shared" si="4"/>
        <v>4.5842779891062921</v>
      </c>
      <c r="P119" s="8">
        <f t="shared" si="5"/>
        <v>2.8679204121186967</v>
      </c>
      <c r="Q119">
        <v>58</v>
      </c>
      <c r="R119" s="9">
        <f t="shared" si="7"/>
        <v>-0.56481402443452733</v>
      </c>
      <c r="S119">
        <v>22</v>
      </c>
      <c r="T119" s="9">
        <f t="shared" si="6"/>
        <v>-2.2568557548175985</v>
      </c>
    </row>
    <row r="120" spans="1:20" x14ac:dyDescent="0.25">
      <c r="A120">
        <v>119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>
        <v>0</v>
      </c>
      <c r="K120" t="str">
        <f xml:space="preserve"> IF(COUNTIF($D$2:$D874,$D$3)&gt;1,"duplicated","original")</f>
        <v>duplicated</v>
      </c>
      <c r="L120" s="2">
        <f>COUNTIF($D$2:$D120,D120)</f>
        <v>4</v>
      </c>
      <c r="M120" t="str">
        <f xml:space="preserve"> IF(COUNTIF($I$2:$I888,I120)&gt;1,"duplicated","original")</f>
        <v>duplicated</v>
      </c>
      <c r="N120" s="2">
        <f>COUNTIF($I$2:$I120,I120)</f>
        <v>13</v>
      </c>
      <c r="O120" s="8">
        <f t="shared" si="4"/>
        <v>3.002599653867366</v>
      </c>
      <c r="P120" s="8">
        <f t="shared" si="5"/>
        <v>3.3503682618851132</v>
      </c>
      <c r="Q120">
        <v>58</v>
      </c>
      <c r="R120" s="9">
        <f t="shared" si="7"/>
        <v>-0.56481402443452733</v>
      </c>
      <c r="S120">
        <v>22</v>
      </c>
      <c r="T120" s="9">
        <f t="shared" si="6"/>
        <v>-2.4106777303069684</v>
      </c>
    </row>
    <row r="121" spans="1:20" x14ac:dyDescent="0.25">
      <c r="A121">
        <v>120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>
        <v>0</v>
      </c>
      <c r="K121" t="str">
        <f xml:space="preserve"> IF(COUNTIF($D$2:$D889,D121)&gt;1,"duplicated","original")</f>
        <v>duplicated</v>
      </c>
      <c r="L121" s="2">
        <f>COUNTIF($D$2:$D121,D121)</f>
        <v>6</v>
      </c>
      <c r="M121" t="str">
        <f xml:space="preserve"> IF(COUNTIF($I$2:$I889,I121)&gt;1,"duplicated","original")</f>
        <v>duplicated</v>
      </c>
      <c r="N121" s="2">
        <f>COUNTIF($I$2:$I121,I121)</f>
        <v>8</v>
      </c>
      <c r="O121" s="8">
        <f t="shared" si="4"/>
        <v>2.642800658126824</v>
      </c>
      <c r="P121" s="8">
        <f t="shared" si="5"/>
        <v>3.4964220984096119</v>
      </c>
      <c r="Q121">
        <v>58</v>
      </c>
      <c r="R121" s="9">
        <f t="shared" si="7"/>
        <v>-0.56481402443452733</v>
      </c>
      <c r="S121">
        <v>22</v>
      </c>
      <c r="T121" s="9">
        <f t="shared" si="6"/>
        <v>-2.4619517221367584</v>
      </c>
    </row>
    <row r="122" spans="1:20" x14ac:dyDescent="0.25">
      <c r="A122">
        <v>121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>
        <v>1</v>
      </c>
      <c r="K122" t="str">
        <f xml:space="preserve"> IF(COUNTIF($D$2:$D890,D122)&gt;1,"duplicated","original")</f>
        <v>duplicated</v>
      </c>
      <c r="L122" s="2">
        <f>COUNTIF($D$2:$D122,D122)</f>
        <v>7</v>
      </c>
      <c r="M122" t="str">
        <f xml:space="preserve"> IF(COUNTIF($I$2:$I890,I122)&gt;1,"duplicated","original")</f>
        <v>duplicated</v>
      </c>
      <c r="N122" s="2">
        <f>COUNTIF($I$2:$I122,I122)</f>
        <v>6</v>
      </c>
      <c r="O122" s="8">
        <f t="shared" si="4"/>
        <v>2.642800658126824</v>
      </c>
      <c r="P122" s="8">
        <f t="shared" si="5"/>
        <v>2.8679204121186967</v>
      </c>
      <c r="Q122">
        <v>58</v>
      </c>
      <c r="R122" s="9">
        <f t="shared" si="7"/>
        <v>-0.56481402443452733</v>
      </c>
      <c r="S122">
        <v>22</v>
      </c>
      <c r="T122" s="9">
        <f t="shared" si="6"/>
        <v>-2.2568557548175985</v>
      </c>
    </row>
    <row r="123" spans="1:20" x14ac:dyDescent="0.25">
      <c r="A123">
        <v>122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>
        <v>0</v>
      </c>
      <c r="K123" t="str">
        <f xml:space="preserve"> IF(COUNTIF($D$2:$D877,$D$3)&gt;1,"duplicated","original")</f>
        <v>duplicated</v>
      </c>
      <c r="L123" s="2">
        <f>COUNTIF($D$2:$D123,D123)</f>
        <v>6</v>
      </c>
      <c r="M123" t="str">
        <f xml:space="preserve"> IF(COUNTIF($I$2:$I877,I123)&gt;1,"duplicated","original")</f>
        <v>duplicated</v>
      </c>
      <c r="N123" s="2">
        <f>COUNTIF($I$2:$I123,I123)</f>
        <v>9</v>
      </c>
      <c r="O123" s="8">
        <f t="shared" si="4"/>
        <v>2.2395545720978594</v>
      </c>
      <c r="P123" s="8">
        <f t="shared" si="5"/>
        <v>3.0372631578852487</v>
      </c>
      <c r="Q123">
        <v>58</v>
      </c>
      <c r="R123" s="9">
        <f t="shared" si="7"/>
        <v>-0.56481402443452733</v>
      </c>
      <c r="S123">
        <v>22</v>
      </c>
      <c r="T123" s="9">
        <f t="shared" si="6"/>
        <v>-2.3081297466473885</v>
      </c>
    </row>
    <row r="124" spans="1:20" x14ac:dyDescent="0.25">
      <c r="A124">
        <v>123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>
        <v>0</v>
      </c>
      <c r="K124" t="str">
        <f xml:space="preserve"> IF(COUNTIF($D$2:$D892,D124)&gt;1,"duplicated","original")</f>
        <v>duplicated</v>
      </c>
      <c r="L124" s="2">
        <f>COUNTIF($D$2:$D124,D124)</f>
        <v>7</v>
      </c>
      <c r="M124" t="str">
        <f xml:space="preserve"> IF(COUNTIF($I$2:$I892,I124)&gt;1,"duplicated","original")</f>
        <v>duplicated</v>
      </c>
      <c r="N124" s="2">
        <f>COUNTIF($I$2:$I124,I124)</f>
        <v>4</v>
      </c>
      <c r="O124" s="8">
        <f t="shared" si="4"/>
        <v>2.2325759379236296</v>
      </c>
      <c r="P124" s="8">
        <f t="shared" si="5"/>
        <v>3.1976503076864229</v>
      </c>
      <c r="Q124">
        <v>60</v>
      </c>
      <c r="R124" s="9">
        <f t="shared" si="7"/>
        <v>-0.46226604077494732</v>
      </c>
      <c r="S124">
        <v>22</v>
      </c>
      <c r="T124" s="9">
        <f t="shared" si="6"/>
        <v>-2.3594037384771784</v>
      </c>
    </row>
    <row r="125" spans="1:20" x14ac:dyDescent="0.25">
      <c r="A125">
        <v>124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>
        <v>0</v>
      </c>
      <c r="K125" t="str">
        <f xml:space="preserve"> IF(COUNTIF($D$2:$D893,D125)&gt;1,"duplicated","original")</f>
        <v>duplicated</v>
      </c>
      <c r="L125" s="2">
        <f>COUNTIF($D$2:$D125,D125)</f>
        <v>5</v>
      </c>
      <c r="M125" t="str">
        <f xml:space="preserve"> IF(COUNTIF($I$2:$I893,I125)&gt;1,"duplicated","original")</f>
        <v>duplicated</v>
      </c>
      <c r="N125" s="2">
        <f>COUNTIF($I$2:$I125,I125)</f>
        <v>1</v>
      </c>
      <c r="O125" s="8">
        <f t="shared" si="4"/>
        <v>3.3142714612106796</v>
      </c>
      <c r="P125" s="8">
        <f t="shared" si="5"/>
        <v>5.9812233288644991</v>
      </c>
      <c r="Q125">
        <v>60</v>
      </c>
      <c r="R125" s="9">
        <f t="shared" si="7"/>
        <v>-0.46226604077494732</v>
      </c>
      <c r="S125">
        <v>22</v>
      </c>
      <c r="T125" s="9">
        <f t="shared" si="6"/>
        <v>-8.0011430683701239E-4</v>
      </c>
    </row>
    <row r="126" spans="1:20" x14ac:dyDescent="0.25">
      <c r="A126">
        <v>125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>
        <v>1</v>
      </c>
      <c r="K126" t="str">
        <f xml:space="preserve"> IF(COUNTIF($D$2:$D880,$D$3)&gt;1,"duplicated","original")</f>
        <v>duplicated</v>
      </c>
      <c r="L126" s="2">
        <f>COUNTIF($D$2:$D126,D126)</f>
        <v>8</v>
      </c>
      <c r="M126" t="str">
        <f xml:space="preserve"> IF(COUNTIF($I$2:$I894,I126)&gt;1,"duplicated","original")</f>
        <v>duplicated</v>
      </c>
      <c r="N126" s="2">
        <f>COUNTIF($I$2:$I126,I126)</f>
        <v>5</v>
      </c>
      <c r="O126" s="8">
        <f t="shared" si="4"/>
        <v>2.642800658126824</v>
      </c>
      <c r="P126" s="8">
        <f t="shared" si="5"/>
        <v>3.1976503076864229</v>
      </c>
      <c r="Q126">
        <v>60</v>
      </c>
      <c r="R126" s="9">
        <f t="shared" si="7"/>
        <v>-0.46226604077494732</v>
      </c>
      <c r="S126">
        <v>22</v>
      </c>
      <c r="T126" s="9">
        <f t="shared" si="6"/>
        <v>-2.3594037384771784</v>
      </c>
    </row>
    <row r="127" spans="1:20" x14ac:dyDescent="0.25">
      <c r="A127">
        <v>126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>
        <v>1</v>
      </c>
      <c r="K127" t="str">
        <f xml:space="preserve"> IF(COUNTIF($D$2:$D895,D127)&gt;1,"duplicated","original")</f>
        <v>duplicated</v>
      </c>
      <c r="L127" s="2">
        <f>COUNTIF($D$2:$D127,D127)</f>
        <v>2</v>
      </c>
      <c r="M127" t="str">
        <f xml:space="preserve"> IF(COUNTIF($I$2:$I881,I127)&gt;1,"duplicated","original")</f>
        <v>duplicated</v>
      </c>
      <c r="N127" s="2">
        <f>COUNTIF($I$2:$I127,I127)</f>
        <v>7</v>
      </c>
      <c r="O127" s="8">
        <f t="shared" si="4"/>
        <v>6.246247247860464</v>
      </c>
      <c r="P127" s="8">
        <f t="shared" si="5"/>
        <v>2.6879299637912952</v>
      </c>
      <c r="Q127">
        <v>60</v>
      </c>
      <c r="R127" s="9">
        <f t="shared" si="7"/>
        <v>-0.46226604077494732</v>
      </c>
      <c r="S127">
        <v>22</v>
      </c>
      <c r="T127" s="9">
        <f t="shared" si="6"/>
        <v>-2.2055817629878085</v>
      </c>
    </row>
    <row r="128" spans="1:20" x14ac:dyDescent="0.25">
      <c r="A128">
        <v>127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>
        <v>0</v>
      </c>
      <c r="K128" t="str">
        <f xml:space="preserve"> IF(COUNTIF($D$2:$D896,D128)&gt;1,"duplicated","original")</f>
        <v>duplicated</v>
      </c>
      <c r="L128" s="2">
        <f>COUNTIF($D$2:$D128,D128)</f>
        <v>6</v>
      </c>
      <c r="M128" t="str">
        <f xml:space="preserve"> IF(COUNTIF($I$2:$I896,I128)&gt;1,"duplicated","original")</f>
        <v>duplicated</v>
      </c>
      <c r="N128" s="2">
        <f>COUNTIF($I$2:$I128,I128)</f>
        <v>4</v>
      </c>
      <c r="O128" s="8">
        <f t="shared" si="4"/>
        <v>0.99216698120607405</v>
      </c>
      <c r="P128" s="8">
        <f t="shared" si="5"/>
        <v>1.7958194481202931</v>
      </c>
      <c r="Q128">
        <v>60</v>
      </c>
      <c r="R128" s="9">
        <f t="shared" si="7"/>
        <v>-0.46226604077494732</v>
      </c>
      <c r="S128">
        <v>22</v>
      </c>
      <c r="T128" s="9">
        <f t="shared" si="6"/>
        <v>-2.0004857956686481</v>
      </c>
    </row>
    <row r="129" spans="1:20" x14ac:dyDescent="0.25">
      <c r="A129">
        <v>128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>
        <v>0</v>
      </c>
      <c r="K129" t="str">
        <f xml:space="preserve"> IF(COUNTIF($D$2:$D883,$D$3)&gt;1,"duplicated","original")</f>
        <v>duplicated</v>
      </c>
      <c r="L129" s="2">
        <f>COUNTIF($D$2:$D129,D129)</f>
        <v>5</v>
      </c>
      <c r="M129" t="str">
        <f xml:space="preserve"> IF(COUNTIF($I$2:$I897,I129)&gt;1,"duplicated","original")</f>
        <v>duplicated</v>
      </c>
      <c r="N129" s="2">
        <f>COUNTIF($I$2:$I129,I129)</f>
        <v>6</v>
      </c>
      <c r="O129" s="8">
        <f t="shared" si="4"/>
        <v>3.3189764508662045</v>
      </c>
      <c r="P129" s="8">
        <f t="shared" si="5"/>
        <v>3.1976503076864229</v>
      </c>
      <c r="Q129">
        <v>60</v>
      </c>
      <c r="R129" s="9">
        <f t="shared" si="7"/>
        <v>-0.46226604077494732</v>
      </c>
      <c r="S129">
        <v>22</v>
      </c>
      <c r="T129" s="9">
        <f t="shared" si="6"/>
        <v>-2.3594037384771784</v>
      </c>
    </row>
    <row r="130" spans="1:20" x14ac:dyDescent="0.25">
      <c r="A130">
        <v>129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>
        <v>1</v>
      </c>
      <c r="K130" t="str">
        <f xml:space="preserve"> IF(COUNTIF($D$2:$D898,D130)&gt;1,"duplicated","original")</f>
        <v>duplicated</v>
      </c>
      <c r="L130" s="2">
        <f>COUNTIF($D$2:$D130,D130)</f>
        <v>4</v>
      </c>
      <c r="M130" t="str">
        <f xml:space="preserve"> IF(COUNTIF($I$2:$I898,I130)&gt;1,"duplicated","original")</f>
        <v>duplicated</v>
      </c>
      <c r="N130" s="2">
        <f>COUNTIF($I$2:$I130,I130)</f>
        <v>3</v>
      </c>
      <c r="O130" s="8">
        <f t="shared" ref="O130:O193" si="8">SQRT(ABS($D130 - $U$8))</f>
        <v>4.3571085961444176</v>
      </c>
      <c r="P130" s="8">
        <f t="shared" ref="P130:P193" si="9">SQRT(ABS($I130 - $W$8))</f>
        <v>2.6028892619074147</v>
      </c>
      <c r="Q130">
        <v>60</v>
      </c>
      <c r="R130" s="9">
        <f t="shared" si="7"/>
        <v>-0.46226604077494732</v>
      </c>
      <c r="S130">
        <v>22</v>
      </c>
      <c r="T130" s="9">
        <f t="shared" si="6"/>
        <v>-1.4877458773707479</v>
      </c>
    </row>
    <row r="131" spans="1:20" x14ac:dyDescent="0.25">
      <c r="A131">
        <v>130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>
        <v>1</v>
      </c>
      <c r="K131" t="str">
        <f xml:space="preserve"> IF(COUNTIF($D$2:$D899,D131)&gt;1,"duplicated","original")</f>
        <v>duplicated</v>
      </c>
      <c r="L131" s="2">
        <f>COUNTIF($D$2:$D131,D131)</f>
        <v>4</v>
      </c>
      <c r="M131" t="str">
        <f xml:space="preserve"> IF(COUNTIF($I$2:$I885,I131)&gt;1,"duplicated","original")</f>
        <v>duplicated</v>
      </c>
      <c r="N131" s="2">
        <f>COUNTIF($I$2:$I131,I131)</f>
        <v>1</v>
      </c>
      <c r="O131" s="8">
        <f t="shared" si="8"/>
        <v>3.8709682662863014</v>
      </c>
      <c r="P131" s="8">
        <f t="shared" si="9"/>
        <v>5.3642364330585695</v>
      </c>
      <c r="Q131">
        <v>60</v>
      </c>
      <c r="R131" s="9">
        <f t="shared" si="7"/>
        <v>-0.46226604077494732</v>
      </c>
      <c r="S131">
        <v>22</v>
      </c>
      <c r="T131" s="9">
        <f t="shared" ref="T131:T194" si="10">STANDARDIZE($I131,$U$8,$U$26)</f>
        <v>-0.35971805711536725</v>
      </c>
    </row>
    <row r="132" spans="1:20" x14ac:dyDescent="0.25">
      <c r="A132">
        <v>131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>
        <v>1</v>
      </c>
      <c r="K132" t="str">
        <f xml:space="preserve"> IF(COUNTIF($D$2:$D886,$D$3)&gt;1,"duplicated","original")</f>
        <v>duplicated</v>
      </c>
      <c r="L132" s="2">
        <f>COUNTIF($D$2:$D132,D132)</f>
        <v>7</v>
      </c>
      <c r="M132" t="str">
        <f xml:space="preserve"> IF(COUNTIF($I$2:$I900,I132)&gt;1,"duplicated","original")</f>
        <v>duplicated</v>
      </c>
      <c r="N132" s="2">
        <f>COUNTIF($I$2:$I132,I132)</f>
        <v>5</v>
      </c>
      <c r="O132" s="8">
        <f t="shared" si="8"/>
        <v>0.99216698120607405</v>
      </c>
      <c r="P132" s="8">
        <f t="shared" si="9"/>
        <v>0.47430737949885876</v>
      </c>
      <c r="Q132">
        <v>60</v>
      </c>
      <c r="R132" s="9">
        <f t="shared" si="7"/>
        <v>-0.46226604077494732</v>
      </c>
      <c r="S132">
        <v>22</v>
      </c>
      <c r="T132" s="9">
        <f t="shared" si="10"/>
        <v>-1.8466638201792782</v>
      </c>
    </row>
    <row r="133" spans="1:20" x14ac:dyDescent="0.25">
      <c r="A133">
        <v>132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>
        <v>1</v>
      </c>
      <c r="K133" t="str">
        <f xml:space="preserve"> IF(COUNTIF($D$2:$D901,D133)&gt;1,"duplicated","original")</f>
        <v>duplicated</v>
      </c>
      <c r="L133" s="2">
        <f>COUNTIF($D$2:$D133,D133)</f>
        <v>3</v>
      </c>
      <c r="M133" t="str">
        <f xml:space="preserve"> IF(COUNTIF($I$2:$I901,I133)&gt;1,"duplicated","original")</f>
        <v>duplicated</v>
      </c>
      <c r="N133" s="2">
        <f>COUNTIF($I$2:$I133,I133)</f>
        <v>6</v>
      </c>
      <c r="O133" s="8">
        <f t="shared" si="8"/>
        <v>3.6077146064239098</v>
      </c>
      <c r="P133" s="8">
        <f t="shared" si="9"/>
        <v>0.47430737949885876</v>
      </c>
      <c r="Q133">
        <v>60</v>
      </c>
      <c r="R133" s="9">
        <f t="shared" ref="R133:R196" si="11">STANDARDIZE($Q133,$U$8,$U$26)</f>
        <v>-0.46226604077494732</v>
      </c>
      <c r="S133">
        <v>22</v>
      </c>
      <c r="T133" s="9">
        <f t="shared" si="10"/>
        <v>-1.8466638201792782</v>
      </c>
    </row>
    <row r="134" spans="1:20" x14ac:dyDescent="0.25">
      <c r="A134">
        <v>133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>
        <v>1</v>
      </c>
      <c r="K134" t="str">
        <f xml:space="preserve"> IF(COUNTIF($D$2:$D902,D134)&gt;1,"duplicated","original")</f>
        <v>duplicated</v>
      </c>
      <c r="L134" s="2">
        <f>COUNTIF($D$2:$D134,D134)</f>
        <v>7</v>
      </c>
      <c r="M134" t="str">
        <f xml:space="preserve"> IF(COUNTIF($I$2:$I902,I134)&gt;1,"duplicated","original")</f>
        <v>duplicated</v>
      </c>
      <c r="N134" s="2">
        <f>COUNTIF($I$2:$I134,I134)</f>
        <v>5</v>
      </c>
      <c r="O134" s="8">
        <f t="shared" si="8"/>
        <v>2.2395545720978594</v>
      </c>
      <c r="P134" s="8">
        <f t="shared" si="9"/>
        <v>1.7958194481202931</v>
      </c>
      <c r="Q134">
        <v>60</v>
      </c>
      <c r="R134" s="9">
        <f t="shared" si="11"/>
        <v>-0.46226604077494732</v>
      </c>
      <c r="S134">
        <v>22</v>
      </c>
      <c r="T134" s="9">
        <f t="shared" si="10"/>
        <v>-2.0004857956686481</v>
      </c>
    </row>
    <row r="135" spans="1:20" x14ac:dyDescent="0.25">
      <c r="A135">
        <v>134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>
        <v>0</v>
      </c>
      <c r="K135" t="str">
        <f xml:space="preserve"> IF(COUNTIF($D$2:$D889,$D$3)&gt;1,"duplicated","original")</f>
        <v>duplicated</v>
      </c>
      <c r="L135" s="2">
        <f>COUNTIF($D$2:$D135,D135)</f>
        <v>8</v>
      </c>
      <c r="M135" t="str">
        <f xml:space="preserve"> IF(COUNTIF($I$2:$I889,I135)&gt;1,"duplicated","original")</f>
        <v>duplicated</v>
      </c>
      <c r="N135" s="2">
        <f>COUNTIF($I$2:$I135,I135)</f>
        <v>3</v>
      </c>
      <c r="O135" s="8">
        <f t="shared" si="8"/>
        <v>2.2325759379236296</v>
      </c>
      <c r="P135" s="8">
        <f t="shared" si="9"/>
        <v>2.4031297321936087</v>
      </c>
      <c r="Q135">
        <v>60</v>
      </c>
      <c r="R135" s="9">
        <f t="shared" si="11"/>
        <v>-0.46226604077494732</v>
      </c>
      <c r="S135">
        <v>22</v>
      </c>
      <c r="T135" s="9">
        <f t="shared" si="10"/>
        <v>-1.5390198692005379</v>
      </c>
    </row>
    <row r="136" spans="1:20" x14ac:dyDescent="0.25">
      <c r="A136">
        <v>135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>
        <v>0</v>
      </c>
      <c r="K136" t="str">
        <f xml:space="preserve"> IF(COUNTIF($D$2:$D904,D136)&gt;1,"duplicated","original")</f>
        <v>duplicated</v>
      </c>
      <c r="L136" s="2">
        <f>COUNTIF($D$2:$D136,D136)</f>
        <v>5</v>
      </c>
      <c r="M136" t="str">
        <f xml:space="preserve"> IF(COUNTIF($I$2:$I904,I136)&gt;1,"duplicated","original")</f>
        <v>duplicated</v>
      </c>
      <c r="N136" s="2">
        <f>COUNTIF($I$2:$I136,I136)</f>
        <v>8</v>
      </c>
      <c r="O136" s="8">
        <f t="shared" si="8"/>
        <v>1.0077721376404618</v>
      </c>
      <c r="P136" s="8">
        <f t="shared" si="9"/>
        <v>2.6879299637912952</v>
      </c>
      <c r="Q136">
        <v>60</v>
      </c>
      <c r="R136" s="9">
        <f t="shared" si="11"/>
        <v>-0.46226604077494732</v>
      </c>
      <c r="S136">
        <v>22</v>
      </c>
      <c r="T136" s="9">
        <f t="shared" si="10"/>
        <v>-2.2055817629878085</v>
      </c>
    </row>
    <row r="137" spans="1:20" x14ac:dyDescent="0.25">
      <c r="A137">
        <v>136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>
        <v>0</v>
      </c>
      <c r="K137" t="str">
        <f xml:space="preserve"> IF(COUNTIF($D$2:$D905,D137)&gt;1,"duplicated","original")</f>
        <v>duplicated</v>
      </c>
      <c r="L137" s="2">
        <f>COUNTIF($D$2:$D137,D137)</f>
        <v>5</v>
      </c>
      <c r="M137" t="str">
        <f xml:space="preserve"> IF(COUNTIF($I$2:$I905,I137)&gt;1,"duplicated","original")</f>
        <v>duplicated</v>
      </c>
      <c r="N137" s="2">
        <f>COUNTIF($I$2:$I137,I137)</f>
        <v>7</v>
      </c>
      <c r="O137" s="8">
        <f t="shared" si="8"/>
        <v>3.002599653867366</v>
      </c>
      <c r="P137" s="8">
        <f t="shared" si="9"/>
        <v>1.4916324916838848</v>
      </c>
      <c r="Q137">
        <v>60</v>
      </c>
      <c r="R137" s="9">
        <f t="shared" si="11"/>
        <v>-0.46226604077494732</v>
      </c>
      <c r="S137">
        <v>22</v>
      </c>
      <c r="T137" s="9">
        <f t="shared" si="10"/>
        <v>-1.9492118038388582</v>
      </c>
    </row>
    <row r="138" spans="1:20" x14ac:dyDescent="0.25">
      <c r="A138">
        <v>137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>
        <v>0</v>
      </c>
      <c r="K138" t="str">
        <f xml:space="preserve"> IF(COUNTIF($D$2:$D892,$D$3)&gt;1,"duplicated","original")</f>
        <v>duplicated</v>
      </c>
      <c r="L138" s="2">
        <f>COUNTIF($D$2:$D138,D138)</f>
        <v>8</v>
      </c>
      <c r="M138" t="str">
        <f xml:space="preserve"> IF(COUNTIF($I$2:$I906,I138)&gt;1,"duplicated","original")</f>
        <v>duplicated</v>
      </c>
      <c r="N138" s="2">
        <f>COUNTIF($I$2:$I138,I138)</f>
        <v>9</v>
      </c>
      <c r="O138" s="8">
        <f t="shared" si="8"/>
        <v>0.99216698120607405</v>
      </c>
      <c r="P138" s="8">
        <f t="shared" si="9"/>
        <v>3.4964220984096119</v>
      </c>
      <c r="Q138">
        <v>60</v>
      </c>
      <c r="R138" s="9">
        <f t="shared" si="11"/>
        <v>-0.46226604077494732</v>
      </c>
      <c r="S138">
        <v>23</v>
      </c>
      <c r="T138" s="9">
        <f t="shared" si="10"/>
        <v>-2.4619517221367584</v>
      </c>
    </row>
    <row r="139" spans="1:20" x14ac:dyDescent="0.25">
      <c r="A139">
        <v>138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>
        <v>0</v>
      </c>
      <c r="K139" t="str">
        <f xml:space="preserve"> IF(COUNTIF($D$2:$D907,D139)&gt;1,"duplicated","original")</f>
        <v>duplicated</v>
      </c>
      <c r="L139" s="2">
        <f>COUNTIF($D$2:$D139,D139)</f>
        <v>6</v>
      </c>
      <c r="M139" t="str">
        <f xml:space="preserve"> IF(COUNTIF($I$2:$I893,I139)&gt;1,"duplicated","original")</f>
        <v>duplicated</v>
      </c>
      <c r="N139" s="2">
        <f>COUNTIF($I$2:$I139,I139)</f>
        <v>14</v>
      </c>
      <c r="O139" s="8">
        <f t="shared" si="8"/>
        <v>3.002599653867366</v>
      </c>
      <c r="P139" s="8">
        <f t="shared" si="9"/>
        <v>3.3503682618851132</v>
      </c>
      <c r="Q139">
        <v>60</v>
      </c>
      <c r="R139" s="9">
        <f t="shared" si="11"/>
        <v>-0.46226604077494732</v>
      </c>
      <c r="S139">
        <v>23</v>
      </c>
      <c r="T139" s="9">
        <f t="shared" si="10"/>
        <v>-2.4106777303069684</v>
      </c>
    </row>
    <row r="140" spans="1:20" x14ac:dyDescent="0.25">
      <c r="A140">
        <v>139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>
        <v>0</v>
      </c>
      <c r="K140" t="str">
        <f xml:space="preserve"> IF(COUNTIF($D$2:$D908,D140)&gt;1,"duplicated","original")</f>
        <v>duplicated</v>
      </c>
      <c r="L140" s="2">
        <f>COUNTIF($D$2:$D140,D140)</f>
        <v>6</v>
      </c>
      <c r="M140" t="str">
        <f xml:space="preserve"> IF(COUNTIF($I$2:$I908,I140)&gt;1,"duplicated","original")</f>
        <v>duplicated</v>
      </c>
      <c r="N140" s="2">
        <f>COUNTIF($I$2:$I140,I140)</f>
        <v>4</v>
      </c>
      <c r="O140" s="8">
        <f t="shared" si="8"/>
        <v>3.3142714612106796</v>
      </c>
      <c r="P140" s="8">
        <f t="shared" si="9"/>
        <v>2.0554725710276638</v>
      </c>
      <c r="Q140">
        <v>60</v>
      </c>
      <c r="R140" s="9">
        <f t="shared" si="11"/>
        <v>-0.46226604077494732</v>
      </c>
      <c r="S140">
        <v>23</v>
      </c>
      <c r="T140" s="9">
        <f t="shared" si="10"/>
        <v>-2.0517597874984381</v>
      </c>
    </row>
    <row r="141" spans="1:20" x14ac:dyDescent="0.25">
      <c r="A141">
        <v>140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>
        <v>0</v>
      </c>
      <c r="K141" t="str">
        <f xml:space="preserve"> IF(COUNTIF($D$2:$D895,$D$3)&gt;1,"duplicated","original")</f>
        <v>duplicated</v>
      </c>
      <c r="L141" s="2">
        <f>COUNTIF($D$2:$D141,D141)</f>
        <v>12</v>
      </c>
      <c r="M141" t="str">
        <f xml:space="preserve"> IF(COUNTIF($I$2:$I909,I141)&gt;1,"duplicated","original")</f>
        <v>duplicated</v>
      </c>
      <c r="N141" s="2">
        <f>COUNTIF($I$2:$I141,I141)</f>
        <v>4</v>
      </c>
      <c r="O141" s="8">
        <f t="shared" si="8"/>
        <v>1.7275402509335562</v>
      </c>
      <c r="P141" s="8">
        <f t="shared" si="9"/>
        <v>2.2858187789601945</v>
      </c>
      <c r="Q141">
        <v>60</v>
      </c>
      <c r="R141" s="9">
        <f t="shared" si="11"/>
        <v>-0.46226604077494732</v>
      </c>
      <c r="S141">
        <v>23</v>
      </c>
      <c r="T141" s="9">
        <f t="shared" si="10"/>
        <v>-2.1030337793282281</v>
      </c>
    </row>
    <row r="142" spans="1:20" x14ac:dyDescent="0.25">
      <c r="A142">
        <v>141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>
        <v>0</v>
      </c>
      <c r="K142" t="str">
        <f xml:space="preserve"> IF(COUNTIF($D$2:$D910,D142)&gt;1,"duplicated","original")</f>
        <v>duplicated</v>
      </c>
      <c r="L142" s="2">
        <f>COUNTIF($D$2:$D142,D142)</f>
        <v>5</v>
      </c>
      <c r="M142" t="str">
        <f xml:space="preserve"> IF(COUNTIF($I$2:$I910,I142)&gt;1,"duplicated","original")</f>
        <v>duplicated</v>
      </c>
      <c r="N142" s="2">
        <f>COUNTIF($I$2:$I142,I142)</f>
        <v>1</v>
      </c>
      <c r="O142" s="8">
        <f t="shared" si="8"/>
        <v>2.9973980914445737</v>
      </c>
      <c r="P142" s="8">
        <f t="shared" si="9"/>
        <v>4.666372521536716</v>
      </c>
      <c r="Q142">
        <v>60</v>
      </c>
      <c r="R142" s="9">
        <f t="shared" si="11"/>
        <v>-0.46226604077494732</v>
      </c>
      <c r="S142">
        <v>23</v>
      </c>
      <c r="T142" s="9">
        <f t="shared" si="10"/>
        <v>-0.71863599992389748</v>
      </c>
    </row>
    <row r="143" spans="1:20" x14ac:dyDescent="0.25">
      <c r="A143">
        <v>142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>
        <v>0</v>
      </c>
      <c r="K143" t="str">
        <f xml:space="preserve"> IF(COUNTIF($D$2:$D911,D143)&gt;1,"duplicated","original")</f>
        <v>duplicated</v>
      </c>
      <c r="L143" s="2">
        <f>COUNTIF($D$2:$D143,D143)</f>
        <v>4</v>
      </c>
      <c r="M143" t="str">
        <f xml:space="preserve"> IF(COUNTIF($I$2:$I897,I143)&gt;1,"duplicated","original")</f>
        <v>duplicated</v>
      </c>
      <c r="N143" s="2">
        <f>COUNTIF($I$2:$I143,I143)</f>
        <v>4</v>
      </c>
      <c r="O143" s="8">
        <f t="shared" si="8"/>
        <v>3.6033866457258754</v>
      </c>
      <c r="P143" s="8">
        <f t="shared" si="9"/>
        <v>2.1851847770275459</v>
      </c>
      <c r="Q143">
        <v>60</v>
      </c>
      <c r="R143" s="9">
        <f t="shared" si="11"/>
        <v>-0.46226604077494732</v>
      </c>
      <c r="S143">
        <v>23</v>
      </c>
      <c r="T143" s="9">
        <f t="shared" si="10"/>
        <v>-1.5902938610303279</v>
      </c>
    </row>
    <row r="144" spans="1:20" x14ac:dyDescent="0.25">
      <c r="A144">
        <v>143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>
        <v>0</v>
      </c>
      <c r="K144" t="str">
        <f xml:space="preserve"> IF(COUNTIF($D$2:$D898,$D$3)&gt;1,"duplicated","original")</f>
        <v>duplicated</v>
      </c>
      <c r="L144" s="2">
        <f>COUNTIF($D$2:$D144,D144)</f>
        <v>1</v>
      </c>
      <c r="M144" t="str">
        <f xml:space="preserve"> IF(COUNTIF($I$2:$I912,I144)&gt;1,"duplicated","original")</f>
        <v>duplicated</v>
      </c>
      <c r="N144" s="2">
        <f>COUNTIF($I$2:$I144,I144)</f>
        <v>15</v>
      </c>
      <c r="O144" s="8">
        <f t="shared" si="8"/>
        <v>4.1249975371391949</v>
      </c>
      <c r="P144" s="8">
        <f t="shared" si="9"/>
        <v>3.3503682618851132</v>
      </c>
      <c r="Q144">
        <v>60</v>
      </c>
      <c r="R144" s="9">
        <f t="shared" si="11"/>
        <v>-0.46226604077494732</v>
      </c>
      <c r="S144">
        <v>23</v>
      </c>
      <c r="T144" s="9">
        <f t="shared" si="10"/>
        <v>-2.4106777303069684</v>
      </c>
    </row>
    <row r="145" spans="1:20" x14ac:dyDescent="0.25">
      <c r="A145">
        <v>144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>
        <v>1</v>
      </c>
      <c r="K145" t="str">
        <f xml:space="preserve"> IF(COUNTIF($D$2:$D913,D145)&gt;1,"duplicated","original")</f>
        <v>duplicated</v>
      </c>
      <c r="L145" s="2">
        <f>COUNTIF($D$2:$D145,D145)</f>
        <v>12</v>
      </c>
      <c r="M145" t="str">
        <f xml:space="preserve"> IF(COUNTIF($I$2:$I913,I145)&gt;1,"duplicated","original")</f>
        <v>duplicated</v>
      </c>
      <c r="N145" s="2">
        <f>COUNTIF($I$2:$I145,I145)</f>
        <v>5</v>
      </c>
      <c r="O145" s="8">
        <f t="shared" si="8"/>
        <v>1.7365496484133203</v>
      </c>
      <c r="P145" s="8">
        <f t="shared" si="9"/>
        <v>2.9622681360324097</v>
      </c>
      <c r="Q145">
        <v>60</v>
      </c>
      <c r="R145" s="9">
        <f t="shared" si="11"/>
        <v>-0.46226604077494732</v>
      </c>
      <c r="S145">
        <v>23</v>
      </c>
      <c r="T145" s="9">
        <f t="shared" si="10"/>
        <v>-1.385197893711168</v>
      </c>
    </row>
    <row r="146" spans="1:20" x14ac:dyDescent="0.25">
      <c r="A146">
        <v>145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>
        <v>0</v>
      </c>
      <c r="K146" t="str">
        <f xml:space="preserve"> IF(COUNTIF($D$2:$D914,D146)&gt;1,"duplicated","original")</f>
        <v>duplicated</v>
      </c>
      <c r="L146" s="2">
        <f>COUNTIF($D$2:$D146,D146)</f>
        <v>5</v>
      </c>
      <c r="M146" t="str">
        <f xml:space="preserve"> IF(COUNTIF($I$2:$I914,I146)&gt;1,"duplicated","original")</f>
        <v>duplicated</v>
      </c>
      <c r="N146" s="2">
        <f>COUNTIF($I$2:$I146,I146)</f>
        <v>7</v>
      </c>
      <c r="O146" s="8">
        <f t="shared" si="8"/>
        <v>2.648698676974115</v>
      </c>
      <c r="P146" s="8">
        <f t="shared" si="9"/>
        <v>3.1976503076864229</v>
      </c>
      <c r="Q146">
        <v>60</v>
      </c>
      <c r="R146" s="9">
        <f t="shared" si="11"/>
        <v>-0.46226604077494732</v>
      </c>
      <c r="S146">
        <v>23</v>
      </c>
      <c r="T146" s="9">
        <f t="shared" si="10"/>
        <v>-2.3594037384771784</v>
      </c>
    </row>
    <row r="147" spans="1:20" x14ac:dyDescent="0.25">
      <c r="A147">
        <v>146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0</v>
      </c>
      <c r="H147">
        <v>0.57199999999999995</v>
      </c>
      <c r="I147">
        <v>21</v>
      </c>
      <c r="J147">
        <v>0</v>
      </c>
      <c r="K147" t="str">
        <f xml:space="preserve"> IF(COUNTIF($D$2:$D901,$D$3)&gt;1,"duplicated","original")</f>
        <v>duplicated</v>
      </c>
      <c r="L147" s="2">
        <f>COUNTIF($D$2:$D147,D147)</f>
        <v>3</v>
      </c>
      <c r="M147" t="str">
        <f xml:space="preserve"> IF(COUNTIF($I$2:$I901,I147)&gt;1,"duplicated","original")</f>
        <v>duplicated</v>
      </c>
      <c r="N147" s="2">
        <f>COUNTIF($I$2:$I147,I147)</f>
        <v>10</v>
      </c>
      <c r="O147" s="8">
        <f t="shared" si="8"/>
        <v>2.4463023767710266</v>
      </c>
      <c r="P147" s="8">
        <f t="shared" si="9"/>
        <v>3.4964220984096119</v>
      </c>
      <c r="Q147">
        <v>60</v>
      </c>
      <c r="R147" s="9">
        <f t="shared" si="11"/>
        <v>-0.46226604077494732</v>
      </c>
      <c r="S147">
        <v>23</v>
      </c>
      <c r="T147" s="9">
        <f t="shared" si="10"/>
        <v>-2.4619517221367584</v>
      </c>
    </row>
    <row r="148" spans="1:20" x14ac:dyDescent="0.25">
      <c r="A148">
        <v>147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>
        <v>0</v>
      </c>
      <c r="K148" t="str">
        <f xml:space="preserve"> IF(COUNTIF($D$2:$D916,D148)&gt;1,"duplicated","original")</f>
        <v>duplicated</v>
      </c>
      <c r="L148" s="2">
        <f>COUNTIF($D$2:$D148,D148)</f>
        <v>7</v>
      </c>
      <c r="M148" t="str">
        <f xml:space="preserve"> IF(COUNTIF($I$2:$I916,I148)&gt;1,"duplicated","original")</f>
        <v>duplicated</v>
      </c>
      <c r="N148" s="2">
        <f>COUNTIF($I$2:$I148,I148)</f>
        <v>5</v>
      </c>
      <c r="O148" s="8">
        <f t="shared" si="8"/>
        <v>3.3142714612106796</v>
      </c>
      <c r="P148" s="8">
        <f t="shared" si="9"/>
        <v>2.7883745282427403</v>
      </c>
      <c r="Q148">
        <v>60</v>
      </c>
      <c r="R148" s="9">
        <f t="shared" si="11"/>
        <v>-0.46226604077494732</v>
      </c>
      <c r="S148">
        <v>23</v>
      </c>
      <c r="T148" s="9">
        <f t="shared" si="10"/>
        <v>-1.4364718855409579</v>
      </c>
    </row>
    <row r="149" spans="1:20" x14ac:dyDescent="0.25">
      <c r="A149">
        <v>148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>
        <v>0</v>
      </c>
      <c r="K149" t="str">
        <f xml:space="preserve"> IF(COUNTIF($D$2:$D917,D149)&gt;1,"duplicated","original")</f>
        <v>duplicated</v>
      </c>
      <c r="L149" s="2">
        <f>COUNTIF($D$2:$D149,D149)</f>
        <v>8</v>
      </c>
      <c r="M149" t="str">
        <f xml:space="preserve"> IF(COUNTIF($I$2:$I917,I149)&gt;1,"duplicated","original")</f>
        <v>duplicated</v>
      </c>
      <c r="N149" s="2">
        <f>COUNTIF($I$2:$I149,I149)</f>
        <v>3</v>
      </c>
      <c r="O149" s="8">
        <f t="shared" si="8"/>
        <v>2.2395545720978594</v>
      </c>
      <c r="P149" s="8">
        <f t="shared" si="9"/>
        <v>0.88035930718822164</v>
      </c>
      <c r="Q149">
        <v>60</v>
      </c>
      <c r="R149" s="9">
        <f t="shared" si="11"/>
        <v>-0.46226604077494732</v>
      </c>
      <c r="S149">
        <v>23</v>
      </c>
      <c r="T149" s="9">
        <f t="shared" si="10"/>
        <v>-1.795389828349488</v>
      </c>
    </row>
    <row r="150" spans="1:20" x14ac:dyDescent="0.25">
      <c r="A150">
        <v>149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>
        <v>0</v>
      </c>
      <c r="K150" t="str">
        <f xml:space="preserve"> IF(COUNTIF($D$2:$D904,$D$3)&gt;1,"duplicated","original")</f>
        <v>duplicated</v>
      </c>
      <c r="L150" s="2">
        <f>COUNTIF($D$2:$D150,D150)</f>
        <v>6</v>
      </c>
      <c r="M150" t="str">
        <f xml:space="preserve"> IF(COUNTIF($I$2:$I918,I150)&gt;1,"duplicated","original")</f>
        <v>duplicated</v>
      </c>
      <c r="N150" s="2">
        <f>COUNTIF($I$2:$I150,I150)</f>
        <v>1</v>
      </c>
      <c r="O150" s="8">
        <f t="shared" si="8"/>
        <v>2.9973980914445737</v>
      </c>
      <c r="P150" s="8">
        <f t="shared" si="9"/>
        <v>5.6369346731847907</v>
      </c>
      <c r="Q150">
        <v>60</v>
      </c>
      <c r="R150" s="9">
        <f t="shared" si="11"/>
        <v>-0.46226604077494732</v>
      </c>
      <c r="S150">
        <v>23</v>
      </c>
      <c r="T150" s="9">
        <f t="shared" si="10"/>
        <v>-0.20589608162599715</v>
      </c>
    </row>
    <row r="151" spans="1:20" x14ac:dyDescent="0.25">
      <c r="A151">
        <v>150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>
        <v>0</v>
      </c>
      <c r="K151" t="str">
        <f xml:space="preserve"> IF(COUNTIF($D$2:$D919,D151)&gt;1,"duplicated","original")</f>
        <v>duplicated</v>
      </c>
      <c r="L151" s="2">
        <f>COUNTIF($D$2:$D151,D151)</f>
        <v>9</v>
      </c>
      <c r="M151" t="str">
        <f xml:space="preserve"> IF(COUNTIF($I$2:$I905,I151)&gt;1,"duplicated","original")</f>
        <v>duplicated</v>
      </c>
      <c r="N151" s="2">
        <f>COUNTIF($I$2:$I151,I151)</f>
        <v>16</v>
      </c>
      <c r="O151" s="8">
        <f t="shared" si="8"/>
        <v>0.99216698120607405</v>
      </c>
      <c r="P151" s="8">
        <f t="shared" si="9"/>
        <v>3.3503682618851132</v>
      </c>
      <c r="Q151">
        <v>60</v>
      </c>
      <c r="R151" s="9">
        <f t="shared" si="11"/>
        <v>-0.46226604077494732</v>
      </c>
      <c r="S151">
        <v>23</v>
      </c>
      <c r="T151" s="9">
        <f t="shared" si="10"/>
        <v>-2.4106777303069684</v>
      </c>
    </row>
    <row r="152" spans="1:20" x14ac:dyDescent="0.25">
      <c r="A152">
        <v>151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>
        <v>0</v>
      </c>
      <c r="K152" t="str">
        <f xml:space="preserve"> IF(COUNTIF($D$2:$D920,D152)&gt;1,"duplicated","original")</f>
        <v>duplicated</v>
      </c>
      <c r="L152" s="2">
        <f>COUNTIF($D$2:$D152,D152)</f>
        <v>9</v>
      </c>
      <c r="M152" t="str">
        <f xml:space="preserve"> IF(COUNTIF($I$2:$I920,I152)&gt;1,"duplicated","original")</f>
        <v>duplicated</v>
      </c>
      <c r="N152" s="2">
        <f>COUNTIF($I$2:$I152,I152)</f>
        <v>10</v>
      </c>
      <c r="O152" s="8">
        <f t="shared" si="8"/>
        <v>2.2325759379236296</v>
      </c>
      <c r="P152" s="8">
        <f t="shared" si="9"/>
        <v>3.0372631578852487</v>
      </c>
      <c r="Q152">
        <v>60</v>
      </c>
      <c r="R152" s="9">
        <f t="shared" si="11"/>
        <v>-0.46226604077494732</v>
      </c>
      <c r="S152">
        <v>23</v>
      </c>
      <c r="T152" s="9">
        <f t="shared" si="10"/>
        <v>-2.3081297466473885</v>
      </c>
    </row>
    <row r="153" spans="1:20" x14ac:dyDescent="0.25">
      <c r="A153">
        <v>152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>
        <v>0</v>
      </c>
      <c r="K153" t="str">
        <f xml:space="preserve"> IF(COUNTIF($D$2:$D907,$D$3)&gt;1,"duplicated","original")</f>
        <v>duplicated</v>
      </c>
      <c r="L153" s="2">
        <f>COUNTIF($D$2:$D153,D153)</f>
        <v>3</v>
      </c>
      <c r="M153" t="str">
        <f xml:space="preserve"> IF(COUNTIF($I$2:$I921,I153)&gt;1,"duplicated","original")</f>
        <v>duplicated</v>
      </c>
      <c r="N153" s="2">
        <f>COUNTIF($I$2:$I153,I153)</f>
        <v>4</v>
      </c>
      <c r="O153" s="8">
        <f t="shared" si="8"/>
        <v>2.0038973729720855</v>
      </c>
      <c r="P153" s="8">
        <f t="shared" si="9"/>
        <v>1.9429442888958308</v>
      </c>
      <c r="Q153">
        <v>60</v>
      </c>
      <c r="R153" s="9">
        <f t="shared" si="11"/>
        <v>-0.46226604077494732</v>
      </c>
      <c r="S153">
        <v>23</v>
      </c>
      <c r="T153" s="9">
        <f t="shared" si="10"/>
        <v>-1.6415678528601181</v>
      </c>
    </row>
    <row r="154" spans="1:20" x14ac:dyDescent="0.25">
      <c r="A154">
        <v>153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>
        <v>1</v>
      </c>
      <c r="K154" t="str">
        <f xml:space="preserve"> IF(COUNTIF($D$2:$D922,D154)&gt;1,"duplicated","original")</f>
        <v>duplicated</v>
      </c>
      <c r="L154" s="2">
        <f>COUNTIF($D$2:$D154,D154)</f>
        <v>2</v>
      </c>
      <c r="M154" t="str">
        <f xml:space="preserve"> IF(COUNTIF($I$2:$I922,I154)&gt;1,"duplicated","original")</f>
        <v>duplicated</v>
      </c>
      <c r="N154" s="2">
        <f>COUNTIF($I$2:$I154,I154)</f>
        <v>6</v>
      </c>
      <c r="O154" s="8">
        <f t="shared" si="8"/>
        <v>4.121212845582666</v>
      </c>
      <c r="P154" s="8">
        <f t="shared" si="9"/>
        <v>2.9622681360324097</v>
      </c>
      <c r="Q154">
        <v>60</v>
      </c>
      <c r="R154" s="9">
        <f t="shared" si="11"/>
        <v>-0.46226604077494732</v>
      </c>
      <c r="S154">
        <v>23</v>
      </c>
      <c r="T154" s="9">
        <f t="shared" si="10"/>
        <v>-1.385197893711168</v>
      </c>
    </row>
    <row r="155" spans="1:20" x14ac:dyDescent="0.25">
      <c r="A155">
        <v>154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>
        <v>0</v>
      </c>
      <c r="K155" t="str">
        <f xml:space="preserve"> IF(COUNTIF($D$2:$D923,D155)&gt;1,"duplicated","original")</f>
        <v>duplicated</v>
      </c>
      <c r="L155" s="2">
        <f>COUNTIF($D$2:$D155,D155)</f>
        <v>5</v>
      </c>
      <c r="M155" t="str">
        <f xml:space="preserve"> IF(COUNTIF($I$2:$I909,I155)&gt;1,"duplicated","original")</f>
        <v>duplicated</v>
      </c>
      <c r="N155" s="2">
        <f>COUNTIF($I$2:$I155,I155)</f>
        <v>8</v>
      </c>
      <c r="O155" s="8">
        <f t="shared" si="8"/>
        <v>3.6033866457258754</v>
      </c>
      <c r="P155" s="8">
        <f t="shared" si="9"/>
        <v>3.1976503076864229</v>
      </c>
      <c r="Q155">
        <v>60</v>
      </c>
      <c r="R155" s="9">
        <f t="shared" si="11"/>
        <v>-0.46226604077494732</v>
      </c>
      <c r="S155">
        <v>23</v>
      </c>
      <c r="T155" s="9">
        <f t="shared" si="10"/>
        <v>-2.3594037384771784</v>
      </c>
    </row>
    <row r="156" spans="1:20" x14ac:dyDescent="0.25">
      <c r="A156">
        <v>155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>
        <v>1</v>
      </c>
      <c r="K156" t="str">
        <f xml:space="preserve"> IF(COUNTIF($D$2:$D910,$D$3)&gt;1,"duplicated","original")</f>
        <v>duplicated</v>
      </c>
      <c r="L156" s="2">
        <f>COUNTIF($D$2:$D156,D156)</f>
        <v>7</v>
      </c>
      <c r="M156" t="str">
        <f xml:space="preserve"> IF(COUNTIF($I$2:$I924,I156)&gt;1,"duplicated","original")</f>
        <v>duplicated</v>
      </c>
      <c r="N156" s="2">
        <f>COUNTIF($I$2:$I156,I156)</f>
        <v>3</v>
      </c>
      <c r="O156" s="8">
        <f t="shared" si="8"/>
        <v>2.9973980914445737</v>
      </c>
      <c r="P156" s="8">
        <f t="shared" si="9"/>
        <v>3.1265048392338888</v>
      </c>
      <c r="Q156">
        <v>60</v>
      </c>
      <c r="R156" s="9">
        <f t="shared" si="11"/>
        <v>-0.46226604077494732</v>
      </c>
      <c r="S156">
        <v>23</v>
      </c>
      <c r="T156" s="9">
        <f t="shared" si="10"/>
        <v>-1.3339239018813778</v>
      </c>
    </row>
    <row r="157" spans="1:20" x14ac:dyDescent="0.25">
      <c r="A157">
        <v>156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>
        <v>1</v>
      </c>
      <c r="K157" t="str">
        <f xml:space="preserve"> IF(COUNTIF($D$2:$D925,D157)&gt;1,"duplicated","original")</f>
        <v>duplicated</v>
      </c>
      <c r="L157" s="2">
        <f>COUNTIF($D$2:$D157,D157)</f>
        <v>5</v>
      </c>
      <c r="M157" t="str">
        <f xml:space="preserve"> IF(COUNTIF($I$2:$I925,I157)&gt;1,"duplicated","original")</f>
        <v>duplicated</v>
      </c>
      <c r="N157" s="2">
        <f>COUNTIF($I$2:$I157,I157)</f>
        <v>3</v>
      </c>
      <c r="O157" s="8">
        <f t="shared" si="8"/>
        <v>4.3571085961444176</v>
      </c>
      <c r="P157" s="8">
        <f t="shared" si="9"/>
        <v>1.6658428826731906</v>
      </c>
      <c r="Q157">
        <v>60</v>
      </c>
      <c r="R157" s="9">
        <f t="shared" si="11"/>
        <v>-0.46226604077494732</v>
      </c>
      <c r="S157">
        <v>23</v>
      </c>
      <c r="T157" s="9">
        <f t="shared" si="10"/>
        <v>-1.6928418446899081</v>
      </c>
    </row>
    <row r="158" spans="1:20" x14ac:dyDescent="0.25">
      <c r="A158">
        <v>157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>
        <v>0</v>
      </c>
      <c r="K158" t="str">
        <f xml:space="preserve"> IF(COUNTIF($D$2:$D926,D158)&gt;1,"duplicated","original")</f>
        <v>duplicated</v>
      </c>
      <c r="L158" s="2">
        <f>COUNTIF($D$2:$D158,D158)</f>
        <v>2</v>
      </c>
      <c r="M158" t="str">
        <f xml:space="preserve"> IF(COUNTIF($I$2:$I926,I158)&gt;1,"duplicated","original")</f>
        <v>duplicated</v>
      </c>
      <c r="N158" s="2">
        <f>COUNTIF($I$2:$I158,I158)</f>
        <v>11</v>
      </c>
      <c r="O158" s="8">
        <f t="shared" si="8"/>
        <v>4.1249975371391949</v>
      </c>
      <c r="P158" s="8">
        <f t="shared" si="9"/>
        <v>3.4964220984096119</v>
      </c>
      <c r="Q158">
        <v>60</v>
      </c>
      <c r="R158" s="9">
        <f t="shared" si="11"/>
        <v>-0.46226604077494732</v>
      </c>
      <c r="S158">
        <v>23</v>
      </c>
      <c r="T158" s="9">
        <f t="shared" si="10"/>
        <v>-2.4619517221367584</v>
      </c>
    </row>
    <row r="159" spans="1:20" x14ac:dyDescent="0.25">
      <c r="A159">
        <v>158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>
        <v>0</v>
      </c>
      <c r="K159" t="str">
        <f xml:space="preserve"> IF(COUNTIF($D$2:$D913,$D$3)&gt;1,"duplicated","original")</f>
        <v>duplicated</v>
      </c>
      <c r="L159" s="2">
        <f>COUNTIF($D$2:$D159,D159)</f>
        <v>4</v>
      </c>
      <c r="M159" t="str">
        <f xml:space="preserve"> IF(COUNTIF($I$2:$I913,I159)&gt;1,"duplicated","original")</f>
        <v>duplicated</v>
      </c>
      <c r="N159" s="2">
        <f>COUNTIF($I$2:$I159,I159)</f>
        <v>9</v>
      </c>
      <c r="O159" s="8">
        <f t="shared" si="8"/>
        <v>3.6077146064239098</v>
      </c>
      <c r="P159" s="8">
        <f t="shared" si="9"/>
        <v>3.1976503076864229</v>
      </c>
      <c r="Q159">
        <v>60</v>
      </c>
      <c r="R159" s="9">
        <f t="shared" si="11"/>
        <v>-0.46226604077494732</v>
      </c>
      <c r="S159">
        <v>23</v>
      </c>
      <c r="T159" s="9">
        <f t="shared" si="10"/>
        <v>-2.3594037384771784</v>
      </c>
    </row>
    <row r="160" spans="1:20" x14ac:dyDescent="0.25">
      <c r="A160">
        <v>159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>
        <v>0</v>
      </c>
      <c r="K160" t="str">
        <f xml:space="preserve"> IF(COUNTIF($D$2:$D928,D160)&gt;1,"duplicated","original")</f>
        <v>duplicated</v>
      </c>
      <c r="L160" s="2">
        <f>COUNTIF($D$2:$D160,D160)</f>
        <v>10</v>
      </c>
      <c r="M160" t="str">
        <f xml:space="preserve"> IF(COUNTIF($I$2:$I928,I160)&gt;1,"duplicated","original")</f>
        <v>duplicated</v>
      </c>
      <c r="N160" s="2">
        <f>COUNTIF($I$2:$I160,I160)</f>
        <v>17</v>
      </c>
      <c r="O160" s="8">
        <f t="shared" si="8"/>
        <v>2.2325759379236296</v>
      </c>
      <c r="P160" s="8">
        <f t="shared" si="9"/>
        <v>3.3503682618851132</v>
      </c>
      <c r="Q160">
        <v>60</v>
      </c>
      <c r="R160" s="9">
        <f t="shared" si="11"/>
        <v>-0.46226604077494732</v>
      </c>
      <c r="S160">
        <v>23</v>
      </c>
      <c r="T160" s="9">
        <f t="shared" si="10"/>
        <v>-2.4106777303069684</v>
      </c>
    </row>
    <row r="161" spans="1:20" x14ac:dyDescent="0.25">
      <c r="A161">
        <v>160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>
        <v>1</v>
      </c>
      <c r="K161" t="str">
        <f xml:space="preserve"> IF(COUNTIF($D$2:$D929,D161)&gt;1,"duplicated","original")</f>
        <v>duplicated</v>
      </c>
      <c r="L161" s="2">
        <f>COUNTIF($D$2:$D161,D161)</f>
        <v>13</v>
      </c>
      <c r="M161" t="str">
        <f xml:space="preserve"> IF(COUNTIF($I$2:$I929,I161)&gt;1,"duplicated","original")</f>
        <v>duplicated</v>
      </c>
      <c r="N161" s="2">
        <f>COUNTIF($I$2:$I161,I161)</f>
        <v>1</v>
      </c>
      <c r="O161" s="8">
        <f t="shared" si="8"/>
        <v>1.7275402509335562</v>
      </c>
      <c r="P161" s="8">
        <f t="shared" si="9"/>
        <v>3.7114730916110554</v>
      </c>
      <c r="Q161">
        <v>61</v>
      </c>
      <c r="R161" s="9">
        <f t="shared" si="11"/>
        <v>-0.41099204894515728</v>
      </c>
      <c r="S161">
        <v>23</v>
      </c>
      <c r="T161" s="9">
        <f t="shared" si="10"/>
        <v>-1.1288279345622176</v>
      </c>
    </row>
    <row r="162" spans="1:20" x14ac:dyDescent="0.25">
      <c r="A162">
        <v>161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>
        <v>0</v>
      </c>
      <c r="K162" t="str">
        <f xml:space="preserve"> IF(COUNTIF($D$2:$D916,$D$3)&gt;1,"duplicated","original")</f>
        <v>duplicated</v>
      </c>
      <c r="L162" s="2">
        <f>COUNTIF($D$2:$D162,D162)</f>
        <v>5</v>
      </c>
      <c r="M162" t="str">
        <f xml:space="preserve"> IF(COUNTIF($I$2:$I930,I162)&gt;1,"duplicated","original")</f>
        <v>duplicated</v>
      </c>
      <c r="N162" s="2">
        <f>COUNTIF($I$2:$I162,I162)</f>
        <v>4</v>
      </c>
      <c r="O162" s="8">
        <f t="shared" si="8"/>
        <v>4.5808727682173815</v>
      </c>
      <c r="P162" s="8">
        <f t="shared" si="9"/>
        <v>1.6658428826731906</v>
      </c>
      <c r="Q162">
        <v>62</v>
      </c>
      <c r="R162" s="9">
        <f t="shared" si="11"/>
        <v>-0.35971805711536725</v>
      </c>
      <c r="S162">
        <v>23</v>
      </c>
      <c r="T162" s="9">
        <f t="shared" si="10"/>
        <v>-1.6928418446899081</v>
      </c>
    </row>
    <row r="163" spans="1:20" x14ac:dyDescent="0.25">
      <c r="A163">
        <v>162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>
        <v>0</v>
      </c>
      <c r="K163" t="str">
        <f xml:space="preserve"> IF(COUNTIF($D$2:$D931,D163)&gt;1,"duplicated","original")</f>
        <v>duplicated</v>
      </c>
      <c r="L163" s="2">
        <f>COUNTIF($D$2:$D163,D163)</f>
        <v>11</v>
      </c>
      <c r="M163" t="str">
        <f xml:space="preserve"> IF(COUNTIF($I$2:$I917,I163)&gt;1,"duplicated","original")</f>
        <v>duplicated</v>
      </c>
      <c r="N163" s="2">
        <f>COUNTIF($I$2:$I163,I163)</f>
        <v>3</v>
      </c>
      <c r="O163" s="8">
        <f t="shared" si="8"/>
        <v>2.2325759379236296</v>
      </c>
      <c r="P163" s="8">
        <f t="shared" si="9"/>
        <v>3.4314767243495803</v>
      </c>
      <c r="Q163">
        <v>62</v>
      </c>
      <c r="R163" s="9">
        <f t="shared" si="11"/>
        <v>-0.35971805711536725</v>
      </c>
      <c r="S163">
        <v>23</v>
      </c>
      <c r="T163" s="9">
        <f t="shared" si="10"/>
        <v>-1.2313759182217978</v>
      </c>
    </row>
    <row r="164" spans="1:20" x14ac:dyDescent="0.25">
      <c r="A164">
        <v>163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>
        <v>0</v>
      </c>
      <c r="K164" t="str">
        <f xml:space="preserve"> IF(COUNTIF($D$2:$D932,D164)&gt;1,"duplicated","original")</f>
        <v>duplicated</v>
      </c>
      <c r="L164" s="2">
        <f>COUNTIF($D$2:$D164,D164)</f>
        <v>8</v>
      </c>
      <c r="M164" t="str">
        <f xml:space="preserve"> IF(COUNTIF($I$2:$I932,I164)&gt;1,"duplicated","original")</f>
        <v>duplicated</v>
      </c>
      <c r="N164" s="2">
        <f>COUNTIF($I$2:$I164,I164)</f>
        <v>8</v>
      </c>
      <c r="O164" s="8">
        <f t="shared" si="8"/>
        <v>3.3142714612106796</v>
      </c>
      <c r="P164" s="8">
        <f t="shared" si="9"/>
        <v>2.4949884749727951</v>
      </c>
      <c r="Q164">
        <v>62</v>
      </c>
      <c r="R164" s="9">
        <f t="shared" si="11"/>
        <v>-0.35971805711536725</v>
      </c>
      <c r="S164">
        <v>23</v>
      </c>
      <c r="T164" s="9">
        <f t="shared" si="10"/>
        <v>-2.1543077711580185</v>
      </c>
    </row>
    <row r="165" spans="1:20" x14ac:dyDescent="0.25">
      <c r="A165">
        <v>164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>
        <v>0</v>
      </c>
      <c r="K165" t="str">
        <f xml:space="preserve"> IF(COUNTIF($D$2:$D919,$D$3)&gt;1,"duplicated","original")</f>
        <v>duplicated</v>
      </c>
      <c r="L165" s="2">
        <f>COUNTIF($D$2:$D165,D165)</f>
        <v>9</v>
      </c>
      <c r="M165" t="str">
        <f xml:space="preserve"> IF(COUNTIF($I$2:$I933,I165)&gt;1,"duplicated","original")</f>
        <v>duplicated</v>
      </c>
      <c r="N165" s="2">
        <f>COUNTIF($I$2:$I165,I165)</f>
        <v>12</v>
      </c>
      <c r="O165" s="8">
        <f t="shared" si="8"/>
        <v>2.2395545720978594</v>
      </c>
      <c r="P165" s="8">
        <f t="shared" si="9"/>
        <v>3.4964220984096119</v>
      </c>
      <c r="Q165">
        <v>62</v>
      </c>
      <c r="R165" s="9">
        <f t="shared" si="11"/>
        <v>-0.35971805711536725</v>
      </c>
      <c r="S165">
        <v>23</v>
      </c>
      <c r="T165" s="9">
        <f t="shared" si="10"/>
        <v>-2.4619517221367584</v>
      </c>
    </row>
    <row r="166" spans="1:20" x14ac:dyDescent="0.25">
      <c r="A166">
        <v>165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>
        <v>1</v>
      </c>
      <c r="K166" t="str">
        <f xml:space="preserve"> IF(COUNTIF($D$2:$D934,D166)&gt;1,"duplicated","original")</f>
        <v>duplicated</v>
      </c>
      <c r="L166" s="2">
        <f>COUNTIF($D$2:$D166,D166)</f>
        <v>6</v>
      </c>
      <c r="M166" t="str">
        <f xml:space="preserve"> IF(COUNTIF($I$2:$I934,I166)&gt;1,"duplicated","original")</f>
        <v>duplicated</v>
      </c>
      <c r="N166" s="2">
        <f>COUNTIF($I$2:$I166,I166)</f>
        <v>5</v>
      </c>
      <c r="O166" s="8">
        <f t="shared" si="8"/>
        <v>4.3571085961444176</v>
      </c>
      <c r="P166" s="8">
        <f t="shared" si="9"/>
        <v>1.1067824945521474</v>
      </c>
      <c r="Q166">
        <v>62</v>
      </c>
      <c r="R166" s="9">
        <f t="shared" si="11"/>
        <v>-0.35971805711536725</v>
      </c>
      <c r="S166">
        <v>23</v>
      </c>
      <c r="T166" s="9">
        <f t="shared" si="10"/>
        <v>-1.8979378120090682</v>
      </c>
    </row>
    <row r="167" spans="1:20" x14ac:dyDescent="0.25">
      <c r="A167">
        <v>166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>
        <v>1</v>
      </c>
      <c r="K167" t="str">
        <f xml:space="preserve"> IF(COUNTIF($D$2:$D935,D167)&gt;1,"duplicated","original")</f>
        <v>duplicated</v>
      </c>
      <c r="L167" s="2">
        <f>COUNTIF($D$2:$D167,D167)</f>
        <v>12</v>
      </c>
      <c r="M167" t="str">
        <f xml:space="preserve"> IF(COUNTIF($I$2:$I921,I167)&gt;1,"duplicated","original")</f>
        <v>duplicated</v>
      </c>
      <c r="N167" s="2">
        <f>COUNTIF($I$2:$I167,I167)</f>
        <v>6</v>
      </c>
      <c r="O167" s="8">
        <f t="shared" si="8"/>
        <v>2.2325759379236296</v>
      </c>
      <c r="P167" s="8">
        <f t="shared" si="9"/>
        <v>2.7883745282427403</v>
      </c>
      <c r="Q167">
        <v>62</v>
      </c>
      <c r="R167" s="9">
        <f t="shared" si="11"/>
        <v>-0.35971805711536725</v>
      </c>
      <c r="S167">
        <v>23</v>
      </c>
      <c r="T167" s="9">
        <f t="shared" si="10"/>
        <v>-1.4364718855409579</v>
      </c>
    </row>
    <row r="168" spans="1:20" x14ac:dyDescent="0.25">
      <c r="A168">
        <v>167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>
        <v>0</v>
      </c>
      <c r="K168" t="str">
        <f xml:space="preserve"> IF(COUNTIF($D$2:$D922,$D$3)&gt;1,"duplicated","original")</f>
        <v>duplicated</v>
      </c>
      <c r="L168" s="2">
        <f>COUNTIF($D$2:$D168,D168)</f>
        <v>13</v>
      </c>
      <c r="M168" t="str">
        <f xml:space="preserve"> IF(COUNTIF($I$2:$I936,I168)&gt;1,"duplicated","original")</f>
        <v>duplicated</v>
      </c>
      <c r="N168" s="2">
        <f>COUNTIF($I$2:$I168,I168)</f>
        <v>18</v>
      </c>
      <c r="O168" s="8">
        <f t="shared" si="8"/>
        <v>1.7365496484133203</v>
      </c>
      <c r="P168" s="8">
        <f t="shared" si="9"/>
        <v>3.3503682618851132</v>
      </c>
      <c r="Q168">
        <v>62</v>
      </c>
      <c r="R168" s="9">
        <f t="shared" si="11"/>
        <v>-0.35971805711536725</v>
      </c>
      <c r="S168">
        <v>23</v>
      </c>
      <c r="T168" s="9">
        <f t="shared" si="10"/>
        <v>-2.4106777303069684</v>
      </c>
    </row>
    <row r="169" spans="1:20" x14ac:dyDescent="0.25">
      <c r="A169">
        <v>168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>
        <v>0</v>
      </c>
      <c r="K169" t="str">
        <f xml:space="preserve"> IF(COUNTIF($D$2:$D937,D169)&gt;1,"duplicated","original")</f>
        <v>duplicated</v>
      </c>
      <c r="L169" s="2">
        <f>COUNTIF($D$2:$D169,D169)</f>
        <v>6</v>
      </c>
      <c r="M169" t="str">
        <f xml:space="preserve"> IF(COUNTIF($I$2:$I937,I169)&gt;1,"duplicated","original")</f>
        <v>duplicated</v>
      </c>
      <c r="N169" s="2">
        <f>COUNTIF($I$2:$I169,I169)</f>
        <v>4</v>
      </c>
      <c r="O169" s="8">
        <f t="shared" si="8"/>
        <v>1.0077721376404618</v>
      </c>
      <c r="P169" s="8">
        <f t="shared" si="9"/>
        <v>0.88035930718822164</v>
      </c>
      <c r="Q169">
        <v>62</v>
      </c>
      <c r="R169" s="9">
        <f t="shared" si="11"/>
        <v>-0.35971805711536725</v>
      </c>
      <c r="S169">
        <v>23</v>
      </c>
      <c r="T169" s="9">
        <f t="shared" si="10"/>
        <v>-1.795389828349488</v>
      </c>
    </row>
    <row r="170" spans="1:20" x14ac:dyDescent="0.25">
      <c r="A170">
        <v>169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>
        <v>0</v>
      </c>
      <c r="K170" t="str">
        <f xml:space="preserve"> IF(COUNTIF($D$2:$D938,D170)&gt;1,"duplicated","original")</f>
        <v>duplicated</v>
      </c>
      <c r="L170" s="2">
        <f>COUNTIF($D$2:$D170,D170)</f>
        <v>14</v>
      </c>
      <c r="M170" t="str">
        <f xml:space="preserve"> IF(COUNTIF($I$2:$I938,I170)&gt;1,"duplicated","original")</f>
        <v>duplicated</v>
      </c>
      <c r="N170" s="2">
        <f>COUNTIF($I$2:$I170,I170)</f>
        <v>5</v>
      </c>
      <c r="O170" s="8">
        <f t="shared" si="8"/>
        <v>1.7365496484133203</v>
      </c>
      <c r="P170" s="8">
        <f t="shared" si="9"/>
        <v>2.0554725710276638</v>
      </c>
      <c r="Q170">
        <v>62</v>
      </c>
      <c r="R170" s="9">
        <f t="shared" si="11"/>
        <v>-0.35971805711536725</v>
      </c>
      <c r="S170">
        <v>23</v>
      </c>
      <c r="T170" s="9">
        <f t="shared" si="10"/>
        <v>-2.0517597874984381</v>
      </c>
    </row>
    <row r="171" spans="1:20" x14ac:dyDescent="0.25">
      <c r="A171">
        <v>170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>
        <v>0</v>
      </c>
      <c r="K171" t="str">
        <f xml:space="preserve"> IF(COUNTIF($D$2:$D925,$D$3)&gt;1,"duplicated","original")</f>
        <v>duplicated</v>
      </c>
      <c r="L171" s="2">
        <f>COUNTIF($D$2:$D171,D171)</f>
        <v>6</v>
      </c>
      <c r="M171" t="str">
        <f xml:space="preserve"> IF(COUNTIF($I$2:$I925,I171)&gt;1,"duplicated","original")</f>
        <v>duplicated</v>
      </c>
      <c r="N171" s="2">
        <f>COUNTIF($I$2:$I171,I171)</f>
        <v>6</v>
      </c>
      <c r="O171" s="8">
        <f t="shared" si="8"/>
        <v>4.5808727682173815</v>
      </c>
      <c r="P171" s="8">
        <f t="shared" si="9"/>
        <v>2.0554725710276638</v>
      </c>
      <c r="Q171">
        <v>62</v>
      </c>
      <c r="R171" s="9">
        <f t="shared" si="11"/>
        <v>-0.35971805711536725</v>
      </c>
      <c r="S171">
        <v>23</v>
      </c>
      <c r="T171" s="9">
        <f t="shared" si="10"/>
        <v>-2.0517597874984381</v>
      </c>
    </row>
    <row r="172" spans="1:20" x14ac:dyDescent="0.25">
      <c r="A172">
        <v>171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>
        <v>1</v>
      </c>
      <c r="K172" t="str">
        <f xml:space="preserve"> IF(COUNTIF($D$2:$D940,D172)&gt;1,"duplicated","original")</f>
        <v>duplicated</v>
      </c>
      <c r="L172" s="2">
        <f>COUNTIF($D$2:$D172,D172)</f>
        <v>6</v>
      </c>
      <c r="M172" t="str">
        <f xml:space="preserve"> IF(COUNTIF($I$2:$I940,I172)&gt;1,"duplicated","original")</f>
        <v>duplicated</v>
      </c>
      <c r="N172" s="2">
        <f>COUNTIF($I$2:$I172,I172)</f>
        <v>5</v>
      </c>
      <c r="O172" s="8">
        <f t="shared" si="8"/>
        <v>3.6033866457258754</v>
      </c>
      <c r="P172" s="8">
        <f t="shared" si="9"/>
        <v>1.6658428826731906</v>
      </c>
      <c r="Q172">
        <v>62</v>
      </c>
      <c r="R172" s="9">
        <f t="shared" si="11"/>
        <v>-0.35971805711536725</v>
      </c>
      <c r="S172">
        <v>23</v>
      </c>
      <c r="T172" s="9">
        <f t="shared" si="10"/>
        <v>-1.6928418446899081</v>
      </c>
    </row>
    <row r="173" spans="1:20" x14ac:dyDescent="0.25">
      <c r="A173">
        <v>172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>
        <v>1</v>
      </c>
      <c r="K173" t="str">
        <f xml:space="preserve"> IF(COUNTIF($D$2:$D941,D173)&gt;1,"duplicated","original")</f>
        <v>duplicated</v>
      </c>
      <c r="L173" s="2">
        <f>COUNTIF($D$2:$D173,D173)</f>
        <v>10</v>
      </c>
      <c r="M173" t="str">
        <f xml:space="preserve"> IF(COUNTIF($I$2:$I941,I173)&gt;1,"duplicated","original")</f>
        <v>duplicated</v>
      </c>
      <c r="N173" s="2">
        <f>COUNTIF($I$2:$I173,I173)</f>
        <v>7</v>
      </c>
      <c r="O173" s="8">
        <f t="shared" si="8"/>
        <v>0.99216698120607405</v>
      </c>
      <c r="P173" s="8">
        <f t="shared" si="9"/>
        <v>2.0554725710276638</v>
      </c>
      <c r="Q173">
        <v>62</v>
      </c>
      <c r="R173" s="9">
        <f t="shared" si="11"/>
        <v>-0.35971805711536725</v>
      </c>
      <c r="S173">
        <v>23</v>
      </c>
      <c r="T173" s="9">
        <f t="shared" si="10"/>
        <v>-2.0517597874984381</v>
      </c>
    </row>
    <row r="174" spans="1:20" x14ac:dyDescent="0.25">
      <c r="A174">
        <v>173</v>
      </c>
      <c r="B174">
        <v>2</v>
      </c>
      <c r="C174">
        <v>87</v>
      </c>
      <c r="D174">
        <v>0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>
        <v>0</v>
      </c>
      <c r="K174" t="str">
        <f xml:space="preserve"> IF(COUNTIF($D$2:$D928,$D$3)&gt;1,"duplicated","original")</f>
        <v>duplicated</v>
      </c>
      <c r="L174" s="2">
        <f>COUNTIF($D$2:$D174,D174)</f>
        <v>7</v>
      </c>
      <c r="M174" t="str">
        <f xml:space="preserve"> IF(COUNTIF($I$2:$I942,I174)&gt;1,"duplicated","original")</f>
        <v>duplicated</v>
      </c>
      <c r="N174" s="2">
        <f>COUNTIF($I$2:$I174,I174)</f>
        <v>7</v>
      </c>
      <c r="O174" s="8">
        <f t="shared" si="8"/>
        <v>8.3075631012592623</v>
      </c>
      <c r="P174" s="8">
        <f t="shared" si="9"/>
        <v>2.8679204121186967</v>
      </c>
      <c r="Q174">
        <v>62</v>
      </c>
      <c r="R174" s="9">
        <f t="shared" si="11"/>
        <v>-0.35971805711536725</v>
      </c>
      <c r="S174">
        <v>23</v>
      </c>
      <c r="T174" s="9">
        <f t="shared" si="10"/>
        <v>-2.2568557548175985</v>
      </c>
    </row>
    <row r="175" spans="1:20" x14ac:dyDescent="0.25">
      <c r="A175">
        <v>174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>
        <v>0</v>
      </c>
      <c r="K175" t="str">
        <f xml:space="preserve"> IF(COUNTIF($D$2:$D943,D175)&gt;1,"duplicated","original")</f>
        <v>duplicated</v>
      </c>
      <c r="L175" s="2">
        <f>COUNTIF($D$2:$D175,D175)</f>
        <v>7</v>
      </c>
      <c r="M175" t="str">
        <f xml:space="preserve"> IF(COUNTIF($I$2:$I929,I175)&gt;1,"duplicated","original")</f>
        <v>duplicated</v>
      </c>
      <c r="N175" s="2">
        <f>COUNTIF($I$2:$I175,I175)</f>
        <v>10</v>
      </c>
      <c r="O175" s="8">
        <f t="shared" si="8"/>
        <v>3.002599653867366</v>
      </c>
      <c r="P175" s="8">
        <f t="shared" si="9"/>
        <v>3.1976503076864229</v>
      </c>
      <c r="Q175">
        <v>62</v>
      </c>
      <c r="R175" s="9">
        <f t="shared" si="11"/>
        <v>-0.35971805711536725</v>
      </c>
      <c r="S175">
        <v>23</v>
      </c>
      <c r="T175" s="9">
        <f t="shared" si="10"/>
        <v>-2.3594037384771784</v>
      </c>
    </row>
    <row r="176" spans="1:20" x14ac:dyDescent="0.25">
      <c r="A176">
        <v>175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>
        <v>0</v>
      </c>
      <c r="K176" t="str">
        <f xml:space="preserve"> IF(COUNTIF($D$2:$D944,D176)&gt;1,"duplicated","original")</f>
        <v>duplicated</v>
      </c>
      <c r="L176" s="2">
        <f>COUNTIF($D$2:$D176,D176)</f>
        <v>10</v>
      </c>
      <c r="M176" t="str">
        <f xml:space="preserve"> IF(COUNTIF($I$2:$I944,I176)&gt;1,"duplicated","original")</f>
        <v>duplicated</v>
      </c>
      <c r="N176" s="2">
        <f>COUNTIF($I$2:$I176,I176)</f>
        <v>7</v>
      </c>
      <c r="O176" s="8">
        <f t="shared" si="8"/>
        <v>2.2395545720978594</v>
      </c>
      <c r="P176" s="8">
        <f t="shared" si="9"/>
        <v>0.47430737949885876</v>
      </c>
      <c r="Q176">
        <v>62</v>
      </c>
      <c r="R176" s="9">
        <f t="shared" si="11"/>
        <v>-0.35971805711536725</v>
      </c>
      <c r="S176">
        <v>24</v>
      </c>
      <c r="T176" s="9">
        <f t="shared" si="10"/>
        <v>-1.8466638201792782</v>
      </c>
    </row>
    <row r="177" spans="1:20" x14ac:dyDescent="0.25">
      <c r="A177">
        <v>176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>
        <v>1</v>
      </c>
      <c r="K177" t="str">
        <f xml:space="preserve"> IF(COUNTIF($D$2:$D931,$D$3)&gt;1,"duplicated","original")</f>
        <v>duplicated</v>
      </c>
      <c r="L177" s="2">
        <f>COUNTIF($D$2:$D177,D177)</f>
        <v>14</v>
      </c>
      <c r="M177" t="str">
        <f xml:space="preserve"> IF(COUNTIF($I$2:$I945,I177)&gt;1,"duplicated","original")</f>
        <v>duplicated</v>
      </c>
      <c r="N177" s="2">
        <f>COUNTIF($I$2:$I177,I177)</f>
        <v>6</v>
      </c>
      <c r="O177" s="8">
        <f t="shared" si="8"/>
        <v>1.7275402509335562</v>
      </c>
      <c r="P177" s="8">
        <f t="shared" si="9"/>
        <v>1.6658428826731906</v>
      </c>
      <c r="Q177">
        <v>62</v>
      </c>
      <c r="R177" s="9">
        <f t="shared" si="11"/>
        <v>-0.35971805711536725</v>
      </c>
      <c r="S177">
        <v>24</v>
      </c>
      <c r="T177" s="9">
        <f t="shared" si="10"/>
        <v>-1.6928418446899081</v>
      </c>
    </row>
    <row r="178" spans="1:20" x14ac:dyDescent="0.25">
      <c r="A178">
        <v>177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>
        <v>0</v>
      </c>
      <c r="K178" t="str">
        <f xml:space="preserve"> IF(COUNTIF($D$2:$D946,D178)&gt;1,"duplicated","original")</f>
        <v>duplicated</v>
      </c>
      <c r="L178" s="2">
        <f>COUNTIF($D$2:$D178,D178)</f>
        <v>8</v>
      </c>
      <c r="M178" t="str">
        <f xml:space="preserve"> IF(COUNTIF($I$2:$I946,I178)&gt;1,"duplicated","original")</f>
        <v>duplicated</v>
      </c>
      <c r="N178" s="2">
        <f>COUNTIF($I$2:$I178,I178)</f>
        <v>7</v>
      </c>
      <c r="O178" s="8">
        <f t="shared" si="8"/>
        <v>2.9973980914445737</v>
      </c>
      <c r="P178" s="8">
        <f t="shared" si="9"/>
        <v>2.9622681360324097</v>
      </c>
      <c r="Q178">
        <v>62</v>
      </c>
      <c r="R178" s="9">
        <f t="shared" si="11"/>
        <v>-0.35971805711536725</v>
      </c>
      <c r="S178">
        <v>24</v>
      </c>
      <c r="T178" s="9">
        <f t="shared" si="10"/>
        <v>-1.385197893711168</v>
      </c>
    </row>
    <row r="179" spans="1:20" x14ac:dyDescent="0.25">
      <c r="A179">
        <v>178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>
        <v>1</v>
      </c>
      <c r="K179" t="str">
        <f xml:space="preserve"> IF(COUNTIF($D$2:$D947,D179)&gt;1,"duplicated","original")</f>
        <v>duplicated</v>
      </c>
      <c r="L179" s="2">
        <f>COUNTIF($D$2:$D179,D179)</f>
        <v>2</v>
      </c>
      <c r="M179" t="str">
        <f xml:space="preserve"> IF(COUNTIF($I$2:$I933,I179)&gt;1,"duplicated","original")</f>
        <v>duplicated</v>
      </c>
      <c r="N179" s="2">
        <f>COUNTIF($I$2:$I179,I179)</f>
        <v>9</v>
      </c>
      <c r="O179" s="8">
        <f t="shared" si="8"/>
        <v>6.4019056005689094</v>
      </c>
      <c r="P179" s="8">
        <f t="shared" si="9"/>
        <v>2.6879299637912952</v>
      </c>
      <c r="Q179">
        <v>62</v>
      </c>
      <c r="R179" s="9">
        <f t="shared" si="11"/>
        <v>-0.35971805711536725</v>
      </c>
      <c r="S179">
        <v>24</v>
      </c>
      <c r="T179" s="9">
        <f t="shared" si="10"/>
        <v>-2.2055817629878085</v>
      </c>
    </row>
    <row r="180" spans="1:20" x14ac:dyDescent="0.25">
      <c r="A180">
        <v>179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>
        <v>0</v>
      </c>
      <c r="K180" t="str">
        <f xml:space="preserve"> IF(COUNTIF($D$2:$D934,$D$3)&gt;1,"duplicated","original")</f>
        <v>duplicated</v>
      </c>
      <c r="L180" s="2">
        <f>COUNTIF($D$2:$D180,D180)</f>
        <v>9</v>
      </c>
      <c r="M180" t="str">
        <f xml:space="preserve"> IF(COUNTIF($I$2:$I948,I180)&gt;1,"duplicated","original")</f>
        <v>duplicated</v>
      </c>
      <c r="N180" s="2">
        <f>COUNTIF($I$2:$I180,I180)</f>
        <v>2</v>
      </c>
      <c r="O180" s="8">
        <f t="shared" si="8"/>
        <v>2.9973980914445737</v>
      </c>
      <c r="P180" s="8">
        <f t="shared" si="9"/>
        <v>3.7114730916110554</v>
      </c>
      <c r="Q180">
        <v>62</v>
      </c>
      <c r="R180" s="9">
        <f t="shared" si="11"/>
        <v>-0.35971805711536725</v>
      </c>
      <c r="S180">
        <v>24</v>
      </c>
      <c r="T180" s="9">
        <f t="shared" si="10"/>
        <v>-1.1288279345622176</v>
      </c>
    </row>
    <row r="181" spans="1:20" x14ac:dyDescent="0.25">
      <c r="A181">
        <v>180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>
        <v>1</v>
      </c>
      <c r="K181" t="str">
        <f xml:space="preserve"> IF(COUNTIF($D$2:$D949,D181)&gt;1,"duplicated","original")</f>
        <v>duplicated</v>
      </c>
      <c r="L181" s="2">
        <f>COUNTIF($D$2:$D181,D181)</f>
        <v>7</v>
      </c>
      <c r="M181" t="str">
        <f xml:space="preserve"> IF(COUNTIF($I$2:$I949,I181)&gt;1,"duplicated","original")</f>
        <v>duplicated</v>
      </c>
      <c r="N181" s="2">
        <f>COUNTIF($I$2:$I181,I181)</f>
        <v>5</v>
      </c>
      <c r="O181" s="8">
        <f t="shared" si="8"/>
        <v>3.6033866457258754</v>
      </c>
      <c r="P181" s="8">
        <f t="shared" si="9"/>
        <v>1.9429442888958308</v>
      </c>
      <c r="Q181">
        <v>62</v>
      </c>
      <c r="R181" s="9">
        <f t="shared" si="11"/>
        <v>-0.35971805711536725</v>
      </c>
      <c r="S181">
        <v>24</v>
      </c>
      <c r="T181" s="9">
        <f t="shared" si="10"/>
        <v>-1.6415678528601181</v>
      </c>
    </row>
    <row r="182" spans="1:20" x14ac:dyDescent="0.25">
      <c r="A182">
        <v>181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>
        <v>0</v>
      </c>
      <c r="K182" t="str">
        <f xml:space="preserve"> IF(COUNTIF($D$2:$D950,D182)&gt;1,"duplicated","original")</f>
        <v>duplicated</v>
      </c>
      <c r="L182" s="2">
        <f>COUNTIF($D$2:$D182,D182)</f>
        <v>9</v>
      </c>
      <c r="M182" t="str">
        <f xml:space="preserve"> IF(COUNTIF($I$2:$I950,I182)&gt;1,"duplicated","original")</f>
        <v>duplicated</v>
      </c>
      <c r="N182" s="2">
        <f>COUNTIF($I$2:$I182,I182)</f>
        <v>6</v>
      </c>
      <c r="O182" s="8">
        <f t="shared" si="8"/>
        <v>3.3142714612106796</v>
      </c>
      <c r="P182" s="8">
        <f t="shared" si="9"/>
        <v>1.1067824945521474</v>
      </c>
      <c r="Q182">
        <v>62</v>
      </c>
      <c r="R182" s="9">
        <f t="shared" si="11"/>
        <v>-0.35971805711536725</v>
      </c>
      <c r="S182">
        <v>24</v>
      </c>
      <c r="T182" s="9">
        <f t="shared" si="10"/>
        <v>-1.8979378120090682</v>
      </c>
    </row>
    <row r="183" spans="1:20" x14ac:dyDescent="0.25">
      <c r="A183">
        <v>182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>
        <v>0</v>
      </c>
      <c r="K183" t="str">
        <f xml:space="preserve"> IF(COUNTIF($D$2:$D937,$D$3)&gt;1,"duplicated","original")</f>
        <v>duplicated</v>
      </c>
      <c r="L183" s="2">
        <f>COUNTIF($D$2:$D183,D183)</f>
        <v>11</v>
      </c>
      <c r="M183" t="str">
        <f xml:space="preserve"> IF(COUNTIF($I$2:$I937,I183)&gt;1,"duplicated","original")</f>
        <v>duplicated</v>
      </c>
      <c r="N183" s="2">
        <f>COUNTIF($I$2:$I183,I183)</f>
        <v>11</v>
      </c>
      <c r="O183" s="8">
        <f t="shared" si="8"/>
        <v>2.2395545720978594</v>
      </c>
      <c r="P183" s="8">
        <f t="shared" si="9"/>
        <v>3.1976503076864229</v>
      </c>
      <c r="Q183">
        <v>62</v>
      </c>
      <c r="R183" s="9">
        <f t="shared" si="11"/>
        <v>-0.35971805711536725</v>
      </c>
      <c r="S183">
        <v>24</v>
      </c>
      <c r="T183" s="9">
        <f t="shared" si="10"/>
        <v>-2.3594037384771784</v>
      </c>
    </row>
    <row r="184" spans="1:20" x14ac:dyDescent="0.25">
      <c r="A184">
        <v>183</v>
      </c>
      <c r="B184">
        <v>1</v>
      </c>
      <c r="C184">
        <v>0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>
        <v>0</v>
      </c>
      <c r="K184" t="str">
        <f xml:space="preserve"> IF(COUNTIF($D$2:$D952,D184)&gt;1,"duplicated","original")</f>
        <v>duplicated</v>
      </c>
      <c r="L184" s="2">
        <f>COUNTIF($D$2:$D184,D184)</f>
        <v>13</v>
      </c>
      <c r="M184" t="str">
        <f xml:space="preserve"> IF(COUNTIF($I$2:$I952,I184)&gt;1,"duplicated","original")</f>
        <v>duplicated</v>
      </c>
      <c r="N184" s="2">
        <f>COUNTIF($I$2:$I184,I184)</f>
        <v>13</v>
      </c>
      <c r="O184" s="8">
        <f t="shared" si="8"/>
        <v>2.2325759379236296</v>
      </c>
      <c r="P184" s="8">
        <f t="shared" si="9"/>
        <v>3.4964220984096119</v>
      </c>
      <c r="Q184">
        <v>62</v>
      </c>
      <c r="R184" s="9">
        <f t="shared" si="11"/>
        <v>-0.35971805711536725</v>
      </c>
      <c r="S184">
        <v>24</v>
      </c>
      <c r="T184" s="9">
        <f t="shared" si="10"/>
        <v>-2.4619517221367584</v>
      </c>
    </row>
    <row r="185" spans="1:20" x14ac:dyDescent="0.25">
      <c r="A185">
        <v>184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>
        <v>0</v>
      </c>
      <c r="K185" t="str">
        <f xml:space="preserve"> IF(COUNTIF($D$2:$D953,D185)&gt;1,"duplicated","original")</f>
        <v>duplicated</v>
      </c>
      <c r="L185" s="2">
        <f>COUNTIF($D$2:$D185,D185)</f>
        <v>8</v>
      </c>
      <c r="M185" t="str">
        <f xml:space="preserve"> IF(COUNTIF($I$2:$I953,I185)&gt;1,"duplicated","original")</f>
        <v>duplicated</v>
      </c>
      <c r="N185" s="2">
        <f>COUNTIF($I$2:$I185,I185)</f>
        <v>9</v>
      </c>
      <c r="O185" s="8">
        <f t="shared" si="8"/>
        <v>3.002599653867366</v>
      </c>
      <c r="P185" s="8">
        <f t="shared" si="9"/>
        <v>2.4949884749727951</v>
      </c>
      <c r="Q185">
        <v>62</v>
      </c>
      <c r="R185" s="9">
        <f t="shared" si="11"/>
        <v>-0.35971805711536725</v>
      </c>
      <c r="S185">
        <v>24</v>
      </c>
      <c r="T185" s="9">
        <f t="shared" si="10"/>
        <v>-2.1543077711580185</v>
      </c>
    </row>
    <row r="186" spans="1:20" x14ac:dyDescent="0.25">
      <c r="A186">
        <v>185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>
        <v>0</v>
      </c>
      <c r="K186" t="str">
        <f xml:space="preserve"> IF(COUNTIF($D$2:$D940,$D$3)&gt;1,"duplicated","original")</f>
        <v>duplicated</v>
      </c>
      <c r="L186" s="2">
        <f>COUNTIF($D$2:$D186,D186)</f>
        <v>14</v>
      </c>
      <c r="M186" t="str">
        <f xml:space="preserve"> IF(COUNTIF($I$2:$I954,I186)&gt;1,"duplicated","original")</f>
        <v>duplicated</v>
      </c>
      <c r="N186" s="2">
        <f>COUNTIF($I$2:$I186,I186)</f>
        <v>4</v>
      </c>
      <c r="O186" s="8">
        <f t="shared" si="8"/>
        <v>2.2325759379236296</v>
      </c>
      <c r="P186" s="8">
        <f t="shared" si="9"/>
        <v>2.6028892619074147</v>
      </c>
      <c r="Q186">
        <v>62</v>
      </c>
      <c r="R186" s="9">
        <f t="shared" si="11"/>
        <v>-0.35971805711536725</v>
      </c>
      <c r="S186">
        <v>24</v>
      </c>
      <c r="T186" s="9">
        <f t="shared" si="10"/>
        <v>-1.4877458773707479</v>
      </c>
    </row>
    <row r="187" spans="1:20" x14ac:dyDescent="0.25">
      <c r="A187">
        <v>186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>
        <v>1</v>
      </c>
      <c r="K187" t="str">
        <f xml:space="preserve"> IF(COUNTIF($D$2:$D955,D187)&gt;1,"duplicated","original")</f>
        <v>duplicated</v>
      </c>
      <c r="L187" s="2">
        <f>COUNTIF($D$2:$D187,D187)</f>
        <v>7</v>
      </c>
      <c r="M187" t="str">
        <f xml:space="preserve"> IF(COUNTIF($I$2:$I941,I187)&gt;1,"duplicated","original")</f>
        <v>duplicated</v>
      </c>
      <c r="N187" s="2">
        <f>COUNTIF($I$2:$I187,I187)</f>
        <v>7</v>
      </c>
      <c r="O187" s="8">
        <f t="shared" si="8"/>
        <v>1.0077721376404618</v>
      </c>
      <c r="P187" s="8">
        <f t="shared" si="9"/>
        <v>2.7883745282427403</v>
      </c>
      <c r="Q187">
        <v>62</v>
      </c>
      <c r="R187" s="9">
        <f t="shared" si="11"/>
        <v>-0.35971805711536725</v>
      </c>
      <c r="S187">
        <v>24</v>
      </c>
      <c r="T187" s="9">
        <f t="shared" si="10"/>
        <v>-1.4364718855409579</v>
      </c>
    </row>
    <row r="188" spans="1:20" x14ac:dyDescent="0.25">
      <c r="A188">
        <v>187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>
        <v>1</v>
      </c>
      <c r="K188" t="str">
        <f xml:space="preserve"> IF(COUNTIF($D$2:$D956,D188)&gt;1,"duplicated","original")</f>
        <v>duplicated</v>
      </c>
      <c r="L188" s="2">
        <f>COUNTIF($D$2:$D188,D188)</f>
        <v>8</v>
      </c>
      <c r="M188" t="str">
        <f xml:space="preserve"> IF(COUNTIF($I$2:$I956,I188)&gt;1,"duplicated","original")</f>
        <v>duplicated</v>
      </c>
      <c r="N188" s="2">
        <f>COUNTIF($I$2:$I188,I188)</f>
        <v>3</v>
      </c>
      <c r="O188" s="8">
        <f t="shared" si="8"/>
        <v>1.0077721376404618</v>
      </c>
      <c r="P188" s="8">
        <f t="shared" si="9"/>
        <v>5.1744596345660021</v>
      </c>
      <c r="Q188">
        <v>62</v>
      </c>
      <c r="R188" s="9">
        <f t="shared" si="11"/>
        <v>-0.35971805711536725</v>
      </c>
      <c r="S188">
        <v>24</v>
      </c>
      <c r="T188" s="9">
        <f t="shared" si="10"/>
        <v>-0.46226604077494732</v>
      </c>
    </row>
    <row r="189" spans="1:20" x14ac:dyDescent="0.25">
      <c r="A189">
        <v>188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>
        <v>1</v>
      </c>
      <c r="K189" t="str">
        <f xml:space="preserve"> IF(COUNTIF($D$2:$D943,$D$3)&gt;1,"duplicated","original")</f>
        <v>duplicated</v>
      </c>
      <c r="L189" s="2">
        <f>COUNTIF($D$2:$D189,D189)</f>
        <v>1</v>
      </c>
      <c r="M189" t="str">
        <f xml:space="preserve"> IF(COUNTIF($I$2:$I957,I189)&gt;1,"duplicated","original")</f>
        <v>duplicated</v>
      </c>
      <c r="N189" s="2">
        <f>COUNTIF($I$2:$I189,I189)</f>
        <v>8</v>
      </c>
      <c r="O189" s="8">
        <f t="shared" si="8"/>
        <v>5.3837157538818463</v>
      </c>
      <c r="P189" s="8">
        <f t="shared" si="9"/>
        <v>0.47430737949885876</v>
      </c>
      <c r="Q189">
        <v>62</v>
      </c>
      <c r="R189" s="9">
        <f t="shared" si="11"/>
        <v>-0.35971805711536725</v>
      </c>
      <c r="S189">
        <v>24</v>
      </c>
      <c r="T189" s="9">
        <f t="shared" si="10"/>
        <v>-1.8466638201792782</v>
      </c>
    </row>
    <row r="190" spans="1:20" x14ac:dyDescent="0.25">
      <c r="A190">
        <v>189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>
        <v>1</v>
      </c>
      <c r="K190" t="str">
        <f xml:space="preserve"> IF(COUNTIF($D$2:$D958,D190)&gt;1,"duplicated","original")</f>
        <v>duplicated</v>
      </c>
      <c r="L190" s="2">
        <f>COUNTIF($D$2:$D190,D190)</f>
        <v>9</v>
      </c>
      <c r="M190" t="str">
        <f xml:space="preserve"> IF(COUNTIF($I$2:$I958,I190)&gt;1,"duplicated","original")</f>
        <v>duplicated</v>
      </c>
      <c r="N190" s="2">
        <f>COUNTIF($I$2:$I190,I190)</f>
        <v>8</v>
      </c>
      <c r="O190" s="8">
        <f t="shared" si="8"/>
        <v>2.642800658126824</v>
      </c>
      <c r="P190" s="8">
        <f t="shared" si="9"/>
        <v>1.4916324916838848</v>
      </c>
      <c r="Q190">
        <v>62</v>
      </c>
      <c r="R190" s="9">
        <f t="shared" si="11"/>
        <v>-0.35971805711536725</v>
      </c>
      <c r="S190">
        <v>24</v>
      </c>
      <c r="T190" s="9">
        <f t="shared" si="10"/>
        <v>-1.9492118038388582</v>
      </c>
    </row>
    <row r="191" spans="1:20" x14ac:dyDescent="0.25">
      <c r="A191">
        <v>190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>
        <v>1</v>
      </c>
      <c r="K191" t="str">
        <f xml:space="preserve"> IF(COUNTIF($D$2:$D959,D191)&gt;1,"duplicated","original")</f>
        <v>duplicated</v>
      </c>
      <c r="L191" s="2">
        <f>COUNTIF($D$2:$D191,D191)</f>
        <v>10</v>
      </c>
      <c r="M191" t="str">
        <f xml:space="preserve"> IF(COUNTIF($I$2:$I945,I191)&gt;1,"duplicated","original")</f>
        <v>duplicated</v>
      </c>
      <c r="N191" s="2">
        <f>COUNTIF($I$2:$I191,I191)</f>
        <v>8</v>
      </c>
      <c r="O191" s="8">
        <f t="shared" si="8"/>
        <v>3.3142714612106796</v>
      </c>
      <c r="P191" s="8">
        <f t="shared" si="9"/>
        <v>2.8679204121186967</v>
      </c>
      <c r="Q191">
        <v>62</v>
      </c>
      <c r="R191" s="9">
        <f t="shared" si="11"/>
        <v>-0.35971805711536725</v>
      </c>
      <c r="S191">
        <v>24</v>
      </c>
      <c r="T191" s="9">
        <f t="shared" si="10"/>
        <v>-2.2568557548175985</v>
      </c>
    </row>
    <row r="192" spans="1:20" x14ac:dyDescent="0.25">
      <c r="A192">
        <v>191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>
        <v>0</v>
      </c>
      <c r="K192" t="str">
        <f xml:space="preserve"> IF(COUNTIF($D$2:$D946,$D$3)&gt;1,"duplicated","original")</f>
        <v>duplicated</v>
      </c>
      <c r="L192" s="2">
        <f>COUNTIF($D$2:$D192,D192)</f>
        <v>6</v>
      </c>
      <c r="M192" t="str">
        <f xml:space="preserve"> IF(COUNTIF($I$2:$I960,I192)&gt;1,"duplicated","original")</f>
        <v>duplicated</v>
      </c>
      <c r="N192" s="2">
        <f>COUNTIF($I$2:$I192,I192)</f>
        <v>14</v>
      </c>
      <c r="O192" s="8">
        <f t="shared" si="8"/>
        <v>2.648698676974115</v>
      </c>
      <c r="P192" s="8">
        <f t="shared" si="9"/>
        <v>3.4964220984096119</v>
      </c>
      <c r="Q192">
        <v>62</v>
      </c>
      <c r="R192" s="9">
        <f t="shared" si="11"/>
        <v>-0.35971805711536725</v>
      </c>
      <c r="S192">
        <v>24</v>
      </c>
      <c r="T192" s="9">
        <f t="shared" si="10"/>
        <v>-2.4619517221367584</v>
      </c>
    </row>
    <row r="193" spans="1:20" x14ac:dyDescent="0.25">
      <c r="A193">
        <v>192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>
        <v>0</v>
      </c>
      <c r="K193" t="str">
        <f xml:space="preserve"> IF(COUNTIF($D$2:$D961,D193)&gt;1,"duplicated","original")</f>
        <v>duplicated</v>
      </c>
      <c r="L193" s="2">
        <f>COUNTIF($D$2:$D193,D193)</f>
        <v>11</v>
      </c>
      <c r="M193" t="str">
        <f xml:space="preserve"> IF(COUNTIF($I$2:$I961,I193)&gt;1,"duplicated","original")</f>
        <v>duplicated</v>
      </c>
      <c r="N193" s="2">
        <f>COUNTIF($I$2:$I193,I193)</f>
        <v>5</v>
      </c>
      <c r="O193" s="8">
        <f t="shared" si="8"/>
        <v>0.99216698120607405</v>
      </c>
      <c r="P193" s="8">
        <f t="shared" si="9"/>
        <v>2.6028892619074147</v>
      </c>
      <c r="Q193">
        <v>62</v>
      </c>
      <c r="R193" s="9">
        <f t="shared" si="11"/>
        <v>-0.35971805711536725</v>
      </c>
      <c r="S193">
        <v>24</v>
      </c>
      <c r="T193" s="9">
        <f t="shared" si="10"/>
        <v>-1.4877458773707479</v>
      </c>
    </row>
    <row r="194" spans="1:20" x14ac:dyDescent="0.25">
      <c r="A194">
        <v>193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>
        <v>1</v>
      </c>
      <c r="K194" t="str">
        <f xml:space="preserve"> IF(COUNTIF($D$2:$D962,D194)&gt;1,"duplicated","original")</f>
        <v>duplicated</v>
      </c>
      <c r="L194" s="2">
        <f>COUNTIF($D$2:$D194,D194)</f>
        <v>15</v>
      </c>
      <c r="M194" t="str">
        <f xml:space="preserve"> IF(COUNTIF($I$2:$I962,I194)&gt;1,"duplicated","original")</f>
        <v>duplicated</v>
      </c>
      <c r="N194" s="2">
        <f>COUNTIF($I$2:$I194,I194)</f>
        <v>7</v>
      </c>
      <c r="O194" s="8">
        <f t="shared" ref="O194:O257" si="12">SQRT(ABS($D194 - $U$8))</f>
        <v>1.7365496484133203</v>
      </c>
      <c r="P194" s="8">
        <f t="shared" ref="P194:P257" si="13">SQRT(ABS($I194 - $W$8))</f>
        <v>1.6658428826731906</v>
      </c>
      <c r="Q194">
        <v>62</v>
      </c>
      <c r="R194" s="9">
        <f t="shared" si="11"/>
        <v>-0.35971805711536725</v>
      </c>
      <c r="S194">
        <v>24</v>
      </c>
      <c r="T194" s="9">
        <f t="shared" si="10"/>
        <v>-1.6928418446899081</v>
      </c>
    </row>
    <row r="195" spans="1:20" x14ac:dyDescent="0.25">
      <c r="A195">
        <v>194</v>
      </c>
      <c r="B195">
        <v>11</v>
      </c>
      <c r="C195">
        <v>135</v>
      </c>
      <c r="D195">
        <v>0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>
        <v>1</v>
      </c>
      <c r="K195" t="str">
        <f xml:space="preserve"> IF(COUNTIF($D$2:$D949,$D$3)&gt;1,"duplicated","original")</f>
        <v>duplicated</v>
      </c>
      <c r="L195" s="2">
        <f>COUNTIF($D$2:$D195,D195)</f>
        <v>8</v>
      </c>
      <c r="M195" t="str">
        <f xml:space="preserve"> IF(COUNTIF($I$2:$I949,I195)&gt;1,"duplicated","original")</f>
        <v>duplicated</v>
      </c>
      <c r="N195" s="2">
        <f>COUNTIF($I$2:$I195,I195)</f>
        <v>6</v>
      </c>
      <c r="O195" s="8">
        <f t="shared" si="12"/>
        <v>8.3075631012592623</v>
      </c>
      <c r="P195" s="8">
        <f t="shared" si="13"/>
        <v>2.6028892619074147</v>
      </c>
      <c r="Q195">
        <v>62</v>
      </c>
      <c r="R195" s="9">
        <f t="shared" si="11"/>
        <v>-0.35971805711536725</v>
      </c>
      <c r="S195">
        <v>24</v>
      </c>
      <c r="T195" s="9">
        <f t="shared" ref="T195:T258" si="14">STANDARDIZE($I195,$U$8,$U$26)</f>
        <v>-1.4877458773707479</v>
      </c>
    </row>
    <row r="196" spans="1:20" x14ac:dyDescent="0.25">
      <c r="A196">
        <v>195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>
        <v>0</v>
      </c>
      <c r="K196" t="str">
        <f xml:space="preserve"> IF(COUNTIF($D$2:$D964,D196)&gt;1,"duplicated","original")</f>
        <v>duplicated</v>
      </c>
      <c r="L196" s="2">
        <f>COUNTIF($D$2:$D196,D196)</f>
        <v>2</v>
      </c>
      <c r="M196" t="str">
        <f xml:space="preserve"> IF(COUNTIF($I$2:$I964,I196)&gt;1,"duplicated","original")</f>
        <v>duplicated</v>
      </c>
      <c r="N196" s="2">
        <f>COUNTIF($I$2:$I196,I196)</f>
        <v>8</v>
      </c>
      <c r="O196" s="8">
        <f t="shared" si="12"/>
        <v>3.743742069294361</v>
      </c>
      <c r="P196" s="8">
        <f t="shared" si="13"/>
        <v>2.9622681360324097</v>
      </c>
      <c r="Q196">
        <v>64</v>
      </c>
      <c r="R196" s="9">
        <f t="shared" si="11"/>
        <v>-0.25717007345578718</v>
      </c>
      <c r="S196">
        <v>24</v>
      </c>
      <c r="T196" s="9">
        <f t="shared" si="14"/>
        <v>-1.385197893711168</v>
      </c>
    </row>
    <row r="197" spans="1:20" x14ac:dyDescent="0.25">
      <c r="A197">
        <v>196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>
        <v>1</v>
      </c>
      <c r="K197" t="str">
        <f xml:space="preserve"> IF(COUNTIF($D$2:$D965,D197)&gt;1,"duplicated","original")</f>
        <v>duplicated</v>
      </c>
      <c r="L197" s="2">
        <f>COUNTIF($D$2:$D197,D197)</f>
        <v>5</v>
      </c>
      <c r="M197" t="str">
        <f xml:space="preserve"> IF(COUNTIF($I$2:$I965,I197)&gt;1,"duplicated","original")</f>
        <v>duplicated</v>
      </c>
      <c r="N197" s="2">
        <f>COUNTIF($I$2:$I197,I197)</f>
        <v>8</v>
      </c>
      <c r="O197" s="8">
        <f t="shared" si="12"/>
        <v>3.8709682662863014</v>
      </c>
      <c r="P197" s="8">
        <f t="shared" si="13"/>
        <v>2.0554725710276638</v>
      </c>
      <c r="Q197">
        <v>64</v>
      </c>
      <c r="R197" s="9">
        <f t="shared" ref="R197:R260" si="15">STANDARDIZE($Q197,$U$8,$U$26)</f>
        <v>-0.25717007345578718</v>
      </c>
      <c r="S197">
        <v>24</v>
      </c>
      <c r="T197" s="9">
        <f t="shared" si="14"/>
        <v>-2.0517597874984381</v>
      </c>
    </row>
    <row r="198" spans="1:20" x14ac:dyDescent="0.25">
      <c r="A198">
        <v>197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>
        <v>0</v>
      </c>
      <c r="K198" t="str">
        <f xml:space="preserve"> IF(COUNTIF($D$2:$D952,$D$3)&gt;1,"duplicated","original")</f>
        <v>duplicated</v>
      </c>
      <c r="L198" s="2">
        <f>COUNTIF($D$2:$D198,D198)</f>
        <v>6</v>
      </c>
      <c r="M198" t="str">
        <f xml:space="preserve"> IF(COUNTIF($I$2:$I966,I198)&gt;1,"duplicated","original")</f>
        <v>duplicated</v>
      </c>
      <c r="N198" s="2">
        <f>COUNTIF($I$2:$I198,I198)</f>
        <v>15</v>
      </c>
      <c r="O198" s="8">
        <f t="shared" si="12"/>
        <v>3.3189764508662045</v>
      </c>
      <c r="P198" s="8">
        <f t="shared" si="13"/>
        <v>3.4964220984096119</v>
      </c>
      <c r="Q198">
        <v>64</v>
      </c>
      <c r="R198" s="9">
        <f t="shared" si="15"/>
        <v>-0.25717007345578718</v>
      </c>
      <c r="S198">
        <v>24</v>
      </c>
      <c r="T198" s="9">
        <f t="shared" si="14"/>
        <v>-2.4619517221367584</v>
      </c>
    </row>
    <row r="199" spans="1:20" x14ac:dyDescent="0.25">
      <c r="A199">
        <v>198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>
        <v>1</v>
      </c>
      <c r="K199" t="str">
        <f xml:space="preserve"> IF(COUNTIF($D$2:$D967,D199)&gt;1,"duplicated","original")</f>
        <v>duplicated</v>
      </c>
      <c r="L199" s="2">
        <f>COUNTIF($D$2:$D199,D199)</f>
        <v>7</v>
      </c>
      <c r="M199" t="str">
        <f xml:space="preserve"> IF(COUNTIF($I$2:$I953,I199)&gt;1,"duplicated","original")</f>
        <v>duplicated</v>
      </c>
      <c r="N199" s="2">
        <f>COUNTIF($I$2:$I199,I199)</f>
        <v>12</v>
      </c>
      <c r="O199" s="8">
        <f t="shared" si="12"/>
        <v>2.648698676974115</v>
      </c>
      <c r="P199" s="8">
        <f t="shared" si="13"/>
        <v>3.1976503076864229</v>
      </c>
      <c r="Q199">
        <v>64</v>
      </c>
      <c r="R199" s="9">
        <f t="shared" si="15"/>
        <v>-0.25717007345578718</v>
      </c>
      <c r="S199">
        <v>24</v>
      </c>
      <c r="T199" s="9">
        <f t="shared" si="14"/>
        <v>-2.3594037384771784</v>
      </c>
    </row>
    <row r="200" spans="1:20" x14ac:dyDescent="0.25">
      <c r="A200">
        <v>199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>
        <v>1</v>
      </c>
      <c r="K200" t="str">
        <f xml:space="preserve"> IF(COUNTIF($D$2:$D968,D200)&gt;1,"duplicated","original")</f>
        <v>duplicated</v>
      </c>
      <c r="L200" s="2">
        <f>COUNTIF($D$2:$D200,D200)</f>
        <v>12</v>
      </c>
      <c r="M200" t="str">
        <f xml:space="preserve"> IF(COUNTIF($I$2:$I968,I200)&gt;1,"duplicated","original")</f>
        <v>duplicated</v>
      </c>
      <c r="N200" s="2">
        <f>COUNTIF($I$2:$I200,I200)</f>
        <v>10</v>
      </c>
      <c r="O200" s="8">
        <f t="shared" si="12"/>
        <v>2.2395545720978594</v>
      </c>
      <c r="P200" s="8">
        <f t="shared" si="13"/>
        <v>2.6879299637912952</v>
      </c>
      <c r="Q200">
        <v>64</v>
      </c>
      <c r="R200" s="9">
        <f t="shared" si="15"/>
        <v>-0.25717007345578718</v>
      </c>
      <c r="S200">
        <v>24</v>
      </c>
      <c r="T200" s="9">
        <f t="shared" si="14"/>
        <v>-2.2055817629878085</v>
      </c>
    </row>
    <row r="201" spans="1:20" x14ac:dyDescent="0.25">
      <c r="A201">
        <v>200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>
        <v>1</v>
      </c>
      <c r="K201" t="str">
        <f xml:space="preserve"> IF(COUNTIF($D$2:$D955,$D$3)&gt;1,"duplicated","original")</f>
        <v>duplicated</v>
      </c>
      <c r="L201" s="2">
        <f>COUNTIF($D$2:$D201,D201)</f>
        <v>9</v>
      </c>
      <c r="M201" t="str">
        <f xml:space="preserve"> IF(COUNTIF($I$2:$I969,I201)&gt;1,"duplicated","original")</f>
        <v>duplicated</v>
      </c>
      <c r="N201" s="2">
        <f>COUNTIF($I$2:$I201,I201)</f>
        <v>9</v>
      </c>
      <c r="O201" s="8">
        <f t="shared" si="12"/>
        <v>3.002599653867366</v>
      </c>
      <c r="P201" s="8">
        <f t="shared" si="13"/>
        <v>2.0554725710276638</v>
      </c>
      <c r="Q201">
        <v>64</v>
      </c>
      <c r="R201" s="9">
        <f t="shared" si="15"/>
        <v>-0.25717007345578718</v>
      </c>
      <c r="S201">
        <v>24</v>
      </c>
      <c r="T201" s="9">
        <f t="shared" si="14"/>
        <v>-2.0517597874984381</v>
      </c>
    </row>
    <row r="202" spans="1:20" x14ac:dyDescent="0.25">
      <c r="A202">
        <v>201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>
        <v>0</v>
      </c>
      <c r="K202" t="str">
        <f xml:space="preserve"> IF(COUNTIF($D$2:$D970,D202)&gt;1,"duplicated","original")</f>
        <v>duplicated</v>
      </c>
      <c r="L202" s="2">
        <f>COUNTIF($D$2:$D202,D202)</f>
        <v>11</v>
      </c>
      <c r="M202" t="str">
        <f xml:space="preserve"> IF(COUNTIF($I$2:$I970,I202)&gt;1,"duplicated","original")</f>
        <v>duplicated</v>
      </c>
      <c r="N202" s="2">
        <f>COUNTIF($I$2:$I202,I202)</f>
        <v>16</v>
      </c>
      <c r="O202" s="8">
        <f t="shared" si="12"/>
        <v>3.3142714612106796</v>
      </c>
      <c r="P202" s="8">
        <f t="shared" si="13"/>
        <v>3.4964220984096119</v>
      </c>
      <c r="Q202">
        <v>64</v>
      </c>
      <c r="R202" s="9">
        <f t="shared" si="15"/>
        <v>-0.25717007345578718</v>
      </c>
      <c r="S202">
        <v>24</v>
      </c>
      <c r="T202" s="9">
        <f t="shared" si="14"/>
        <v>-2.4619517221367584</v>
      </c>
    </row>
    <row r="203" spans="1:20" x14ac:dyDescent="0.25">
      <c r="A203">
        <v>202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>
        <v>0</v>
      </c>
      <c r="K203" t="str">
        <f xml:space="preserve"> IF(COUNTIF($D$2:$D971,D203)&gt;1,"duplicated","original")</f>
        <v>duplicated</v>
      </c>
      <c r="L203" s="2">
        <f>COUNTIF($D$2:$D203,D203)</f>
        <v>8</v>
      </c>
      <c r="M203" t="str">
        <f xml:space="preserve"> IF(COUNTIF($I$2:$I957,I203)&gt;1,"duplicated","original")</f>
        <v>duplicated</v>
      </c>
      <c r="N203" s="2">
        <f>COUNTIF($I$2:$I203,I203)</f>
        <v>5</v>
      </c>
      <c r="O203" s="8">
        <f t="shared" si="12"/>
        <v>3.6033866457258754</v>
      </c>
      <c r="P203" s="8">
        <f t="shared" si="13"/>
        <v>2.2858187789601945</v>
      </c>
      <c r="Q203">
        <v>64</v>
      </c>
      <c r="R203" s="9">
        <f t="shared" si="15"/>
        <v>-0.25717007345578718</v>
      </c>
      <c r="S203">
        <v>24</v>
      </c>
      <c r="T203" s="9">
        <f t="shared" si="14"/>
        <v>-2.1030337793282281</v>
      </c>
    </row>
    <row r="204" spans="1:20" x14ac:dyDescent="0.25">
      <c r="A204">
        <v>203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>
        <v>0</v>
      </c>
      <c r="K204" t="str">
        <f xml:space="preserve"> IF(COUNTIF($D$2:$D958,$D$3)&gt;1,"duplicated","original")</f>
        <v>duplicated</v>
      </c>
      <c r="L204" s="2">
        <f>COUNTIF($D$2:$D204,D204)</f>
        <v>9</v>
      </c>
      <c r="M204" t="str">
        <f xml:space="preserve"> IF(COUNTIF($I$2:$I972,I204)&gt;1,"duplicated","original")</f>
        <v>duplicated</v>
      </c>
      <c r="N204" s="2">
        <f>COUNTIF($I$2:$I204,I204)</f>
        <v>7</v>
      </c>
      <c r="O204" s="8">
        <f t="shared" si="12"/>
        <v>1.0077721376404618</v>
      </c>
      <c r="P204" s="8">
        <f t="shared" si="13"/>
        <v>1.1067824945521474</v>
      </c>
      <c r="Q204">
        <v>64</v>
      </c>
      <c r="R204" s="9">
        <f t="shared" si="15"/>
        <v>-0.25717007345578718</v>
      </c>
      <c r="S204">
        <v>24</v>
      </c>
      <c r="T204" s="9">
        <f t="shared" si="14"/>
        <v>-1.8979378120090682</v>
      </c>
    </row>
    <row r="205" spans="1:20" x14ac:dyDescent="0.25">
      <c r="A205">
        <v>204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>
        <v>0</v>
      </c>
      <c r="K205" t="str">
        <f xml:space="preserve"> IF(COUNTIF($D$2:$D973,D205)&gt;1,"duplicated","original")</f>
        <v>duplicated</v>
      </c>
      <c r="L205" s="2">
        <f>COUNTIF($D$2:$D205,D205)</f>
        <v>12</v>
      </c>
      <c r="M205" t="str">
        <f xml:space="preserve"> IF(COUNTIF($I$2:$I973,I205)&gt;1,"duplicated","original")</f>
        <v>duplicated</v>
      </c>
      <c r="N205" s="2">
        <f>COUNTIF($I$2:$I205,I205)</f>
        <v>10</v>
      </c>
      <c r="O205" s="8">
        <f t="shared" si="12"/>
        <v>0.99216698120607405</v>
      </c>
      <c r="P205" s="8">
        <f t="shared" si="13"/>
        <v>2.4949884749727951</v>
      </c>
      <c r="Q205">
        <v>64</v>
      </c>
      <c r="R205" s="9">
        <f t="shared" si="15"/>
        <v>-0.25717007345578718</v>
      </c>
      <c r="S205">
        <v>24</v>
      </c>
      <c r="T205" s="9">
        <f t="shared" si="14"/>
        <v>-2.1543077711580185</v>
      </c>
    </row>
    <row r="206" spans="1:20" x14ac:dyDescent="0.25">
      <c r="A206">
        <v>205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>
        <v>0</v>
      </c>
      <c r="K206" t="str">
        <f xml:space="preserve"> IF(COUNTIF($D$2:$D974,D206)&gt;1,"duplicated","original")</f>
        <v>duplicated</v>
      </c>
      <c r="L206" s="2">
        <f>COUNTIF($D$2:$D206,D206)</f>
        <v>15</v>
      </c>
      <c r="M206" t="str">
        <f xml:space="preserve"> IF(COUNTIF($I$2:$I974,I206)&gt;1,"duplicated","original")</f>
        <v>duplicated</v>
      </c>
      <c r="N206" s="2">
        <f>COUNTIF($I$2:$I206,I206)</f>
        <v>2</v>
      </c>
      <c r="O206" s="8">
        <f t="shared" si="12"/>
        <v>1.7275402509335562</v>
      </c>
      <c r="P206" s="8">
        <f t="shared" si="13"/>
        <v>4.666372521536716</v>
      </c>
      <c r="Q206">
        <v>64</v>
      </c>
      <c r="R206" s="9">
        <f t="shared" si="15"/>
        <v>-0.25717007345578718</v>
      </c>
      <c r="S206">
        <v>24</v>
      </c>
      <c r="T206" s="9">
        <f t="shared" si="14"/>
        <v>-0.71863599992389748</v>
      </c>
    </row>
    <row r="207" spans="1:20" x14ac:dyDescent="0.25">
      <c r="A207">
        <v>206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>
        <v>0</v>
      </c>
      <c r="K207" t="str">
        <f xml:space="preserve"> IF(COUNTIF($D$2:$D961,$D$3)&gt;1,"duplicated","original")</f>
        <v>duplicated</v>
      </c>
      <c r="L207" s="2">
        <f>COUNTIF($D$2:$D207,D207)</f>
        <v>16</v>
      </c>
      <c r="M207" t="str">
        <f xml:space="preserve"> IF(COUNTIF($I$2:$I961,I207)&gt;1,"duplicated","original")</f>
        <v>duplicated</v>
      </c>
      <c r="N207" s="2">
        <f>COUNTIF($I$2:$I207,I207)</f>
        <v>11</v>
      </c>
      <c r="O207" s="8">
        <f t="shared" si="12"/>
        <v>1.7275402509335562</v>
      </c>
      <c r="P207" s="8">
        <f t="shared" si="13"/>
        <v>2.4949884749727951</v>
      </c>
      <c r="Q207">
        <v>64</v>
      </c>
      <c r="R207" s="9">
        <f t="shared" si="15"/>
        <v>-0.25717007345578718</v>
      </c>
      <c r="S207">
        <v>24</v>
      </c>
      <c r="T207" s="9">
        <f t="shared" si="14"/>
        <v>-2.1543077711580185</v>
      </c>
    </row>
    <row r="208" spans="1:20" x14ac:dyDescent="0.25">
      <c r="A208">
        <v>207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>
        <v>1</v>
      </c>
      <c r="K208" t="str">
        <f xml:space="preserve"> IF(COUNTIF($D$2:$D976,D208)&gt;1,"duplicated","original")</f>
        <v>duplicated</v>
      </c>
      <c r="L208" s="2">
        <f>COUNTIF($D$2:$D208,D208)</f>
        <v>10</v>
      </c>
      <c r="M208" t="str">
        <f xml:space="preserve"> IF(COUNTIF($I$2:$I976,I208)&gt;1,"duplicated","original")</f>
        <v>duplicated</v>
      </c>
      <c r="N208" s="2">
        <f>COUNTIF($I$2:$I208,I208)</f>
        <v>3</v>
      </c>
      <c r="O208" s="8">
        <f t="shared" si="12"/>
        <v>2.642800658126824</v>
      </c>
      <c r="P208" s="8">
        <f t="shared" si="13"/>
        <v>4.8759647773289876</v>
      </c>
      <c r="Q208">
        <v>64</v>
      </c>
      <c r="R208" s="9">
        <f t="shared" si="15"/>
        <v>-0.25717007345578718</v>
      </c>
      <c r="S208">
        <v>24</v>
      </c>
      <c r="T208" s="9">
        <f t="shared" si="14"/>
        <v>-0.61608801626431742</v>
      </c>
    </row>
    <row r="209" spans="1:20" x14ac:dyDescent="0.25">
      <c r="A209">
        <v>208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>
        <v>1</v>
      </c>
      <c r="K209" t="str">
        <f xml:space="preserve"> IF(COUNTIF($D$2:$D977,D209)&gt;1,"duplicated","original")</f>
        <v>duplicated</v>
      </c>
      <c r="L209" s="2">
        <f>COUNTIF($D$2:$D209,D209)</f>
        <v>1</v>
      </c>
      <c r="M209" t="str">
        <f xml:space="preserve"> IF(COUNTIF($I$2:$I977,I209)&gt;1,"duplicated","original")</f>
        <v>duplicated</v>
      </c>
      <c r="N209" s="2">
        <f>COUNTIF($I$2:$I209,I209)</f>
        <v>1</v>
      </c>
      <c r="O209" s="8">
        <f t="shared" si="12"/>
        <v>5.9147607997784304</v>
      </c>
      <c r="P209" s="8">
        <f t="shared" si="13"/>
        <v>4.3330165600598534</v>
      </c>
      <c r="Q209">
        <v>64</v>
      </c>
      <c r="R209" s="9">
        <f t="shared" si="15"/>
        <v>-0.25717007345578718</v>
      </c>
      <c r="S209">
        <v>24</v>
      </c>
      <c r="T209" s="9">
        <f t="shared" si="14"/>
        <v>-0.87245797541326753</v>
      </c>
    </row>
    <row r="210" spans="1:20" x14ac:dyDescent="0.25">
      <c r="A210">
        <v>209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>
        <v>0</v>
      </c>
      <c r="K210" t="str">
        <f xml:space="preserve"> IF(COUNTIF($D$2:$D964,$D$3)&gt;1,"duplicated","original")</f>
        <v>duplicated</v>
      </c>
      <c r="L210" s="2">
        <f>COUNTIF($D$2:$D210,D210)</f>
        <v>13</v>
      </c>
      <c r="M210" t="str">
        <f xml:space="preserve"> IF(COUNTIF($I$2:$I978,I210)&gt;1,"duplicated","original")</f>
        <v>duplicated</v>
      </c>
      <c r="N210" s="2">
        <f>COUNTIF($I$2:$I210,I210)</f>
        <v>17</v>
      </c>
      <c r="O210" s="8">
        <f t="shared" si="12"/>
        <v>2.2395545720978594</v>
      </c>
      <c r="P210" s="8">
        <f t="shared" si="13"/>
        <v>3.4964220984096119</v>
      </c>
      <c r="Q210">
        <v>64</v>
      </c>
      <c r="R210" s="9">
        <f t="shared" si="15"/>
        <v>-0.25717007345578718</v>
      </c>
      <c r="S210">
        <v>24</v>
      </c>
      <c r="T210" s="9">
        <f t="shared" si="14"/>
        <v>-2.4619517221367584</v>
      </c>
    </row>
    <row r="211" spans="1:20" x14ac:dyDescent="0.25">
      <c r="A211">
        <v>210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>
        <v>1</v>
      </c>
      <c r="K211" t="str">
        <f xml:space="preserve"> IF(COUNTIF($D$2:$D979,D211)&gt;1,"duplicated","original")</f>
        <v>duplicated</v>
      </c>
      <c r="L211" s="2">
        <f>COUNTIF($D$2:$D211,D211)</f>
        <v>6</v>
      </c>
      <c r="M211" t="str">
        <f xml:space="preserve"> IF(COUNTIF($I$2:$I965,I211)&gt;1,"duplicated","original")</f>
        <v>duplicated</v>
      </c>
      <c r="N211" s="2">
        <f>COUNTIF($I$2:$I211,I211)</f>
        <v>8</v>
      </c>
      <c r="O211" s="8">
        <f t="shared" si="12"/>
        <v>3.8709682662863014</v>
      </c>
      <c r="P211" s="8">
        <f t="shared" si="13"/>
        <v>2.7883745282427403</v>
      </c>
      <c r="Q211">
        <v>64</v>
      </c>
      <c r="R211" s="9">
        <f t="shared" si="15"/>
        <v>-0.25717007345578718</v>
      </c>
      <c r="S211">
        <v>24</v>
      </c>
      <c r="T211" s="9">
        <f t="shared" si="14"/>
        <v>-1.4364718855409579</v>
      </c>
    </row>
    <row r="212" spans="1:20" x14ac:dyDescent="0.25">
      <c r="A212">
        <v>211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>
        <v>0</v>
      </c>
      <c r="K212" t="str">
        <f xml:space="preserve"> IF(COUNTIF($D$2:$D980,D212)&gt;1,"duplicated","original")</f>
        <v>duplicated</v>
      </c>
      <c r="L212" s="2">
        <f>COUNTIF($D$2:$D212,D212)</f>
        <v>10</v>
      </c>
      <c r="M212" t="str">
        <f xml:space="preserve"> IF(COUNTIF($I$2:$I980,I212)&gt;1,"duplicated","original")</f>
        <v>duplicated</v>
      </c>
      <c r="N212" s="2">
        <f>COUNTIF($I$2:$I212,I212)</f>
        <v>9</v>
      </c>
      <c r="O212" s="8">
        <f t="shared" si="12"/>
        <v>3.002599653867366</v>
      </c>
      <c r="P212" s="8">
        <f t="shared" si="13"/>
        <v>2.8679204121186967</v>
      </c>
      <c r="Q212">
        <v>64</v>
      </c>
      <c r="R212" s="9">
        <f t="shared" si="15"/>
        <v>-0.25717007345578718</v>
      </c>
      <c r="S212">
        <v>24</v>
      </c>
      <c r="T212" s="9">
        <f t="shared" si="14"/>
        <v>-2.2568557548175985</v>
      </c>
    </row>
    <row r="213" spans="1:20" x14ac:dyDescent="0.25">
      <c r="A213">
        <v>212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>
        <v>0</v>
      </c>
      <c r="K213" t="str">
        <f xml:space="preserve"> IF(COUNTIF($D$2:$D967,$D$3)&gt;1,"duplicated","original")</f>
        <v>duplicated</v>
      </c>
      <c r="L213" s="2">
        <f>COUNTIF($D$2:$D213,D213)</f>
        <v>3</v>
      </c>
      <c r="M213" t="str">
        <f xml:space="preserve"> IF(COUNTIF($I$2:$I981,I213)&gt;1,"duplicated","original")</f>
        <v>duplicated</v>
      </c>
      <c r="N213" s="2">
        <f>COUNTIF($I$2:$I213,I213)</f>
        <v>11</v>
      </c>
      <c r="O213" s="8">
        <f t="shared" si="12"/>
        <v>3.9980489389945659</v>
      </c>
      <c r="P213" s="8">
        <f t="shared" si="13"/>
        <v>3.0372631578852487</v>
      </c>
      <c r="Q213">
        <v>64</v>
      </c>
      <c r="R213" s="9">
        <f t="shared" si="15"/>
        <v>-0.25717007345578718</v>
      </c>
      <c r="S213">
        <v>24</v>
      </c>
      <c r="T213" s="9">
        <f t="shared" si="14"/>
        <v>-2.3081297466473885</v>
      </c>
    </row>
    <row r="214" spans="1:20" x14ac:dyDescent="0.25">
      <c r="A214">
        <v>213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>
        <v>0</v>
      </c>
      <c r="K214" t="str">
        <f xml:space="preserve"> IF(COUNTIF($D$2:$D982,D214)&gt;1,"duplicated","original")</f>
        <v>original</v>
      </c>
      <c r="L214" s="2">
        <f>COUNTIF($D$2:$D214,D214)</f>
        <v>1</v>
      </c>
      <c r="M214" t="str">
        <f xml:space="preserve"> IF(COUNTIF($I$2:$I982,I214)&gt;1,"duplicated","original")</f>
        <v>duplicated</v>
      </c>
      <c r="N214" s="2">
        <f>COUNTIF($I$2:$I214,I214)</f>
        <v>4</v>
      </c>
      <c r="O214" s="8">
        <f t="shared" si="12"/>
        <v>5.0974891190266973</v>
      </c>
      <c r="P214" s="8">
        <f t="shared" si="13"/>
        <v>5.1744596345660021</v>
      </c>
      <c r="Q214">
        <v>64</v>
      </c>
      <c r="R214" s="9">
        <f t="shared" si="15"/>
        <v>-0.25717007345578718</v>
      </c>
      <c r="S214">
        <v>24</v>
      </c>
      <c r="T214" s="9">
        <f t="shared" si="14"/>
        <v>-0.46226604077494732</v>
      </c>
    </row>
    <row r="215" spans="1:20" x14ac:dyDescent="0.25">
      <c r="A215">
        <v>214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>
        <v>1</v>
      </c>
      <c r="K215" t="str">
        <f xml:space="preserve"> IF(COUNTIF($D$2:$D983,D215)&gt;1,"duplicated","original")</f>
        <v>duplicated</v>
      </c>
      <c r="L215" s="2">
        <f>COUNTIF($D$2:$D215,D215)</f>
        <v>4</v>
      </c>
      <c r="M215" t="str">
        <f xml:space="preserve"> IF(COUNTIF($I$2:$I969,I215)&gt;1,"duplicated","original")</f>
        <v>duplicated</v>
      </c>
      <c r="N215" s="2">
        <f>COUNTIF($I$2:$I215,I215)</f>
        <v>12</v>
      </c>
      <c r="O215" s="8">
        <f t="shared" si="12"/>
        <v>2.0038973729720855</v>
      </c>
      <c r="P215" s="8">
        <f t="shared" si="13"/>
        <v>3.0372631578852487</v>
      </c>
      <c r="Q215">
        <v>64</v>
      </c>
      <c r="R215" s="9">
        <f t="shared" si="15"/>
        <v>-0.25717007345578718</v>
      </c>
      <c r="S215">
        <v>24</v>
      </c>
      <c r="T215" s="9">
        <f t="shared" si="14"/>
        <v>-2.3081297466473885</v>
      </c>
    </row>
    <row r="216" spans="1:20" x14ac:dyDescent="0.25">
      <c r="A216">
        <v>215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>
        <v>1</v>
      </c>
      <c r="K216" t="str">
        <f xml:space="preserve"> IF(COUNTIF($D$2:$D970,$D$3)&gt;1,"duplicated","original")</f>
        <v>duplicated</v>
      </c>
      <c r="L216" s="2">
        <f>COUNTIF($D$2:$D216,D216)</f>
        <v>9</v>
      </c>
      <c r="M216" t="str">
        <f xml:space="preserve"> IF(COUNTIF($I$2:$I984,I216)&gt;1,"duplicated","original")</f>
        <v>duplicated</v>
      </c>
      <c r="N216" s="2">
        <f>COUNTIF($I$2:$I216,I216)</f>
        <v>8</v>
      </c>
      <c r="O216" s="8">
        <f t="shared" si="12"/>
        <v>3.6033866457258754</v>
      </c>
      <c r="P216" s="8">
        <f t="shared" si="13"/>
        <v>1.6658428826731906</v>
      </c>
      <c r="Q216">
        <v>64</v>
      </c>
      <c r="R216" s="9">
        <f t="shared" si="15"/>
        <v>-0.25717007345578718</v>
      </c>
      <c r="S216">
        <v>24</v>
      </c>
      <c r="T216" s="9">
        <f t="shared" si="14"/>
        <v>-1.6928418446899081</v>
      </c>
    </row>
    <row r="217" spans="1:20" x14ac:dyDescent="0.25">
      <c r="A217">
        <v>216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>
        <v>1</v>
      </c>
      <c r="K217" t="str">
        <f xml:space="preserve"> IF(COUNTIF($D$2:$D985,D217)&gt;1,"duplicated","original")</f>
        <v>duplicated</v>
      </c>
      <c r="L217" s="2">
        <f>COUNTIF($D$2:$D217,D217)</f>
        <v>13</v>
      </c>
      <c r="M217" t="str">
        <f xml:space="preserve"> IF(COUNTIF($I$2:$I985,I217)&gt;1,"duplicated","original")</f>
        <v>duplicated</v>
      </c>
      <c r="N217" s="2">
        <f>COUNTIF($I$2:$I217,I217)</f>
        <v>5</v>
      </c>
      <c r="O217" s="8">
        <f t="shared" si="12"/>
        <v>0.99216698120607405</v>
      </c>
      <c r="P217" s="8">
        <f t="shared" si="13"/>
        <v>2.1851847770275459</v>
      </c>
      <c r="Q217">
        <v>64</v>
      </c>
      <c r="R217" s="9">
        <f t="shared" si="15"/>
        <v>-0.25717007345578718</v>
      </c>
      <c r="S217">
        <v>24</v>
      </c>
      <c r="T217" s="9">
        <f t="shared" si="14"/>
        <v>-1.5902938610303279</v>
      </c>
    </row>
    <row r="218" spans="1:20" x14ac:dyDescent="0.25">
      <c r="A218">
        <v>217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>
        <v>1</v>
      </c>
      <c r="K218" t="str">
        <f xml:space="preserve"> IF(COUNTIF($D$2:$D986,D218)&gt;1,"duplicated","original")</f>
        <v>duplicated</v>
      </c>
      <c r="L218" s="2">
        <f>COUNTIF($D$2:$D218,D218)</f>
        <v>8</v>
      </c>
      <c r="M218" t="str">
        <f xml:space="preserve"> IF(COUNTIF($I$2:$I986,I218)&gt;1,"duplicated","original")</f>
        <v>duplicated</v>
      </c>
      <c r="N218" s="2">
        <f>COUNTIF($I$2:$I218,I218)</f>
        <v>10</v>
      </c>
      <c r="O218" s="8">
        <f t="shared" si="12"/>
        <v>2.648698676974115</v>
      </c>
      <c r="P218" s="8">
        <f t="shared" si="13"/>
        <v>2.8679204121186967</v>
      </c>
      <c r="Q218">
        <v>64</v>
      </c>
      <c r="R218" s="9">
        <f t="shared" si="15"/>
        <v>-0.25717007345578718</v>
      </c>
      <c r="S218">
        <v>24</v>
      </c>
      <c r="T218" s="9">
        <f t="shared" si="14"/>
        <v>-2.2568557548175985</v>
      </c>
    </row>
    <row r="219" spans="1:20" x14ac:dyDescent="0.25">
      <c r="A219">
        <v>218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>
        <v>0</v>
      </c>
      <c r="K219" t="str">
        <f xml:space="preserve"> IF(COUNTIF($D$2:$D973,$D$3)&gt;1,"duplicated","original")</f>
        <v>duplicated</v>
      </c>
      <c r="L219" s="2">
        <f>COUNTIF($D$2:$D219,D219)</f>
        <v>10</v>
      </c>
      <c r="M219" t="str">
        <f xml:space="preserve"> IF(COUNTIF($I$2:$I973,I219)&gt;1,"duplicated","original")</f>
        <v>duplicated</v>
      </c>
      <c r="N219" s="2">
        <f>COUNTIF($I$2:$I219,I219)</f>
        <v>8</v>
      </c>
      <c r="O219" s="8">
        <f t="shared" si="12"/>
        <v>1.0077721376404618</v>
      </c>
      <c r="P219" s="8">
        <f t="shared" si="13"/>
        <v>1.1067824945521474</v>
      </c>
      <c r="Q219">
        <v>64</v>
      </c>
      <c r="R219" s="9">
        <f t="shared" si="15"/>
        <v>-0.25717007345578718</v>
      </c>
      <c r="S219">
        <v>24</v>
      </c>
      <c r="T219" s="9">
        <f t="shared" si="14"/>
        <v>-1.8979378120090682</v>
      </c>
    </row>
    <row r="220" spans="1:20" x14ac:dyDescent="0.25">
      <c r="A220">
        <v>219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>
        <v>1</v>
      </c>
      <c r="K220" t="str">
        <f xml:space="preserve"> IF(COUNTIF($D$2:$D988,D220)&gt;1,"duplicated","original")</f>
        <v>duplicated</v>
      </c>
      <c r="L220" s="2">
        <f>COUNTIF($D$2:$D220,D220)</f>
        <v>15</v>
      </c>
      <c r="M220" t="str">
        <f xml:space="preserve"> IF(COUNTIF($I$2:$I988,I220)&gt;1,"duplicated","original")</f>
        <v>duplicated</v>
      </c>
      <c r="N220" s="2">
        <f>COUNTIF($I$2:$I220,I220)</f>
        <v>9</v>
      </c>
      <c r="O220" s="8">
        <f t="shared" si="12"/>
        <v>2.2325759379236296</v>
      </c>
      <c r="P220" s="8">
        <f t="shared" si="13"/>
        <v>1.1067824945521474</v>
      </c>
      <c r="Q220">
        <v>64</v>
      </c>
      <c r="R220" s="9">
        <f t="shared" si="15"/>
        <v>-0.25717007345578718</v>
      </c>
      <c r="S220">
        <v>24</v>
      </c>
      <c r="T220" s="9">
        <f t="shared" si="14"/>
        <v>-1.8979378120090682</v>
      </c>
    </row>
    <row r="221" spans="1:20" x14ac:dyDescent="0.25">
      <c r="A221">
        <v>220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>
        <v>1</v>
      </c>
      <c r="K221" t="str">
        <f xml:space="preserve"> IF(COUNTIF($D$2:$D989,D221)&gt;1,"duplicated","original")</f>
        <v>duplicated</v>
      </c>
      <c r="L221" s="2">
        <f>COUNTIF($D$2:$D221,D221)</f>
        <v>16</v>
      </c>
      <c r="M221" t="str">
        <f xml:space="preserve"> IF(COUNTIF($I$2:$I989,I221)&gt;1,"duplicated","original")</f>
        <v>duplicated</v>
      </c>
      <c r="N221" s="2">
        <f>COUNTIF($I$2:$I221,I221)</f>
        <v>9</v>
      </c>
      <c r="O221" s="8">
        <f t="shared" si="12"/>
        <v>1.7365496484133203</v>
      </c>
      <c r="P221" s="8">
        <f t="shared" si="13"/>
        <v>2.7883745282427403</v>
      </c>
      <c r="Q221">
        <v>64</v>
      </c>
      <c r="R221" s="9">
        <f t="shared" si="15"/>
        <v>-0.25717007345578718</v>
      </c>
      <c r="S221">
        <v>24</v>
      </c>
      <c r="T221" s="9">
        <f t="shared" si="14"/>
        <v>-1.4364718855409579</v>
      </c>
    </row>
    <row r="222" spans="1:20" x14ac:dyDescent="0.25">
      <c r="A222">
        <v>221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>
        <v>1</v>
      </c>
      <c r="K222" t="str">
        <f xml:space="preserve"> IF(COUNTIF($D$2:$D976,$D$3)&gt;1,"duplicated","original")</f>
        <v>duplicated</v>
      </c>
      <c r="L222" s="2">
        <f>COUNTIF($D$2:$D222,D222)</f>
        <v>11</v>
      </c>
      <c r="M222" t="str">
        <f xml:space="preserve"> IF(COUNTIF($I$2:$I990,I222)&gt;1,"duplicated","original")</f>
        <v>duplicated</v>
      </c>
      <c r="N222" s="2">
        <f>COUNTIF($I$2:$I222,I222)</f>
        <v>18</v>
      </c>
      <c r="O222" s="8">
        <f t="shared" si="12"/>
        <v>3.002599653867366</v>
      </c>
      <c r="P222" s="8">
        <f t="shared" si="13"/>
        <v>3.4964220984096119</v>
      </c>
      <c r="Q222">
        <v>64</v>
      </c>
      <c r="R222" s="9">
        <f t="shared" si="15"/>
        <v>-0.25717007345578718</v>
      </c>
      <c r="S222">
        <v>25</v>
      </c>
      <c r="T222" s="9">
        <f t="shared" si="14"/>
        <v>-2.4619517221367584</v>
      </c>
    </row>
    <row r="223" spans="1:20" x14ac:dyDescent="0.25">
      <c r="A223">
        <v>222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>
        <v>1</v>
      </c>
      <c r="K223" t="str">
        <f xml:space="preserve"> IF(COUNTIF($D$2:$D991,D223)&gt;1,"duplicated","original")</f>
        <v>duplicated</v>
      </c>
      <c r="L223" s="2">
        <f>COUNTIF($D$2:$D223,D223)</f>
        <v>7</v>
      </c>
      <c r="M223" t="str">
        <f xml:space="preserve"> IF(COUNTIF($I$2:$I977,I223)&gt;1,"duplicated","original")</f>
        <v>duplicated</v>
      </c>
      <c r="N223" s="2">
        <f>COUNTIF($I$2:$I223,I223)</f>
        <v>1</v>
      </c>
      <c r="O223" s="8">
        <f t="shared" si="12"/>
        <v>4.5808727682173815</v>
      </c>
      <c r="P223" s="8">
        <f t="shared" si="13"/>
        <v>5.7249482538930367</v>
      </c>
      <c r="Q223">
        <v>64</v>
      </c>
      <c r="R223" s="9">
        <f t="shared" si="15"/>
        <v>-0.25717007345578718</v>
      </c>
      <c r="S223">
        <v>25</v>
      </c>
      <c r="T223" s="9">
        <f t="shared" si="14"/>
        <v>-0.15462208979620712</v>
      </c>
    </row>
    <row r="224" spans="1:20" x14ac:dyDescent="0.25">
      <c r="A224">
        <v>223</v>
      </c>
      <c r="B224">
        <v>7</v>
      </c>
      <c r="C224">
        <v>119</v>
      </c>
      <c r="D224">
        <v>0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>
        <v>0</v>
      </c>
      <c r="K224" t="str">
        <f xml:space="preserve"> IF(COUNTIF($D$2:$D992,D224)&gt;1,"duplicated","original")</f>
        <v>duplicated</v>
      </c>
      <c r="L224" s="2">
        <f>COUNTIF($D$2:$D224,D224)</f>
        <v>9</v>
      </c>
      <c r="M224" t="str">
        <f xml:space="preserve"> IF(COUNTIF($I$2:$I992,I224)&gt;1,"duplicated","original")</f>
        <v>duplicated</v>
      </c>
      <c r="N224" s="2">
        <f>COUNTIF($I$2:$I224,I224)</f>
        <v>6</v>
      </c>
      <c r="O224" s="8">
        <f t="shared" si="12"/>
        <v>8.3075631012592623</v>
      </c>
      <c r="P224" s="8">
        <f t="shared" si="13"/>
        <v>1.9429442888958308</v>
      </c>
      <c r="Q224">
        <v>64</v>
      </c>
      <c r="R224" s="9">
        <f t="shared" si="15"/>
        <v>-0.25717007345578718</v>
      </c>
      <c r="S224">
        <v>25</v>
      </c>
      <c r="T224" s="9">
        <f t="shared" si="14"/>
        <v>-1.6415678528601181</v>
      </c>
    </row>
    <row r="225" spans="1:20" x14ac:dyDescent="0.25">
      <c r="A225">
        <v>224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>
        <v>0</v>
      </c>
      <c r="K225" t="str">
        <f xml:space="preserve"> IF(COUNTIF($D$2:$D979,$D$3)&gt;1,"duplicated","original")</f>
        <v>duplicated</v>
      </c>
      <c r="L225" s="2">
        <f>COUNTIF($D$2:$D225,D225)</f>
        <v>12</v>
      </c>
      <c r="M225" t="str">
        <f xml:space="preserve"> IF(COUNTIF($I$2:$I993,I225)&gt;1,"duplicated","original")</f>
        <v>duplicated</v>
      </c>
      <c r="N225" s="2">
        <f>COUNTIF($I$2:$I225,I225)</f>
        <v>2</v>
      </c>
      <c r="O225" s="8">
        <f t="shared" si="12"/>
        <v>3.002599653867366</v>
      </c>
      <c r="P225" s="8">
        <f t="shared" si="13"/>
        <v>5.2702023215198226</v>
      </c>
      <c r="Q225">
        <v>64</v>
      </c>
      <c r="R225" s="9">
        <f t="shared" si="15"/>
        <v>-0.25717007345578718</v>
      </c>
      <c r="S225">
        <v>25</v>
      </c>
      <c r="T225" s="9">
        <f t="shared" si="14"/>
        <v>-0.41099204894515728</v>
      </c>
    </row>
    <row r="226" spans="1:20" x14ac:dyDescent="0.25">
      <c r="A226">
        <v>225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>
        <v>0</v>
      </c>
      <c r="K226" t="str">
        <f xml:space="preserve"> IF(COUNTIF($D$2:$D994,D226)&gt;1,"duplicated","original")</f>
        <v>duplicated</v>
      </c>
      <c r="L226" s="2">
        <f>COUNTIF($D$2:$D226,D226)</f>
        <v>17</v>
      </c>
      <c r="M226" t="str">
        <f xml:space="preserve"> IF(COUNTIF($I$2:$I994,I226)&gt;1,"duplicated","original")</f>
        <v>duplicated</v>
      </c>
      <c r="N226" s="2">
        <f>COUNTIF($I$2:$I226,I226)</f>
        <v>11</v>
      </c>
      <c r="O226" s="8">
        <f t="shared" si="12"/>
        <v>1.7365496484133203</v>
      </c>
      <c r="P226" s="8">
        <f t="shared" si="13"/>
        <v>2.6879299637912952</v>
      </c>
      <c r="Q226">
        <v>64</v>
      </c>
      <c r="R226" s="9">
        <f t="shared" si="15"/>
        <v>-0.25717007345578718</v>
      </c>
      <c r="S226">
        <v>25</v>
      </c>
      <c r="T226" s="9">
        <f t="shared" si="14"/>
        <v>-2.2055817629878085</v>
      </c>
    </row>
    <row r="227" spans="1:20" x14ac:dyDescent="0.25">
      <c r="A227">
        <v>226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>
        <v>0</v>
      </c>
      <c r="K227" t="str">
        <f xml:space="preserve"> IF(COUNTIF($D$2:$D995,D227)&gt;1,"duplicated","original")</f>
        <v>duplicated</v>
      </c>
      <c r="L227" s="2">
        <f>COUNTIF($D$2:$D227,D227)</f>
        <v>10</v>
      </c>
      <c r="M227" t="str">
        <f xml:space="preserve"> IF(COUNTIF($I$2:$I981,I227)&gt;1,"duplicated","original")</f>
        <v>duplicated</v>
      </c>
      <c r="N227" s="2">
        <f>COUNTIF($I$2:$I227,I227)</f>
        <v>19</v>
      </c>
      <c r="O227" s="8">
        <f t="shared" si="12"/>
        <v>2.9973980914445737</v>
      </c>
      <c r="P227" s="8">
        <f t="shared" si="13"/>
        <v>3.3503682618851132</v>
      </c>
      <c r="Q227">
        <v>64</v>
      </c>
      <c r="R227" s="9">
        <f t="shared" si="15"/>
        <v>-0.25717007345578718</v>
      </c>
      <c r="S227">
        <v>25</v>
      </c>
      <c r="T227" s="9">
        <f t="shared" si="14"/>
        <v>-2.4106777303069684</v>
      </c>
    </row>
    <row r="228" spans="1:20" x14ac:dyDescent="0.25">
      <c r="A228">
        <v>227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>
        <v>0</v>
      </c>
      <c r="K228" t="str">
        <f xml:space="preserve"> IF(COUNTIF($D$2:$D982,$D$3)&gt;1,"duplicated","original")</f>
        <v>duplicated</v>
      </c>
      <c r="L228" s="2">
        <f>COUNTIF($D$2:$D228,D228)</f>
        <v>11</v>
      </c>
      <c r="M228" t="str">
        <f xml:space="preserve"> IF(COUNTIF($I$2:$I996,I228)&gt;1,"duplicated","original")</f>
        <v>duplicated</v>
      </c>
      <c r="N228" s="2">
        <f>COUNTIF($I$2:$I228,I228)</f>
        <v>12</v>
      </c>
      <c r="O228" s="8">
        <f t="shared" si="12"/>
        <v>2.642800658126824</v>
      </c>
      <c r="P228" s="8">
        <f t="shared" si="13"/>
        <v>2.6879299637912952</v>
      </c>
      <c r="Q228">
        <v>64</v>
      </c>
      <c r="R228" s="9">
        <f t="shared" si="15"/>
        <v>-0.25717007345578718</v>
      </c>
      <c r="S228">
        <v>25</v>
      </c>
      <c r="T228" s="9">
        <f t="shared" si="14"/>
        <v>-2.2055817629878085</v>
      </c>
    </row>
    <row r="229" spans="1:20" x14ac:dyDescent="0.25">
      <c r="A229">
        <v>228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>
        <v>1</v>
      </c>
      <c r="K229" t="str">
        <f xml:space="preserve"> IF(COUNTIF($D$2:$D997,D229)&gt;1,"duplicated","original")</f>
        <v>duplicated</v>
      </c>
      <c r="L229" s="2">
        <f>COUNTIF($D$2:$D229,D229)</f>
        <v>3</v>
      </c>
      <c r="M229" t="str">
        <f xml:space="preserve"> IF(COUNTIF($I$2:$I997,I229)&gt;1,"duplicated","original")</f>
        <v>duplicated</v>
      </c>
      <c r="N229" s="2">
        <f>COUNTIF($I$2:$I229,I229)</f>
        <v>13</v>
      </c>
      <c r="O229" s="8">
        <f t="shared" si="12"/>
        <v>4.1249975371391949</v>
      </c>
      <c r="P229" s="8">
        <f t="shared" si="13"/>
        <v>3.0372631578852487</v>
      </c>
      <c r="Q229">
        <v>64</v>
      </c>
      <c r="R229" s="9">
        <f t="shared" si="15"/>
        <v>-0.25717007345578718</v>
      </c>
      <c r="S229">
        <v>25</v>
      </c>
      <c r="T229" s="9">
        <f t="shared" si="14"/>
        <v>-2.3081297466473885</v>
      </c>
    </row>
    <row r="230" spans="1:20" x14ac:dyDescent="0.25">
      <c r="A230">
        <v>229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>
        <v>0</v>
      </c>
      <c r="K230" t="str">
        <f xml:space="preserve"> IF(COUNTIF($D$2:$D998,D230)&gt;1,"duplicated","original")</f>
        <v>duplicated</v>
      </c>
      <c r="L230" s="2">
        <f>COUNTIF($D$2:$D230,D230)</f>
        <v>14</v>
      </c>
      <c r="M230" t="str">
        <f xml:space="preserve"> IF(COUNTIF($I$2:$I998,I230)&gt;1,"duplicated","original")</f>
        <v>duplicated</v>
      </c>
      <c r="N230" s="2">
        <f>COUNTIF($I$2:$I230,I230)</f>
        <v>9</v>
      </c>
      <c r="O230" s="8">
        <f t="shared" si="12"/>
        <v>0.99216698120607405</v>
      </c>
      <c r="P230" s="8">
        <f t="shared" si="13"/>
        <v>1.4916324916838848</v>
      </c>
      <c r="Q230">
        <v>64</v>
      </c>
      <c r="R230" s="9">
        <f t="shared" si="15"/>
        <v>-0.25717007345578718</v>
      </c>
      <c r="S230">
        <v>25</v>
      </c>
      <c r="T230" s="9">
        <f t="shared" si="14"/>
        <v>-1.9492118038388582</v>
      </c>
    </row>
    <row r="231" spans="1:20" x14ac:dyDescent="0.25">
      <c r="A231">
        <v>230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>
        <v>0</v>
      </c>
      <c r="K231" t="str">
        <f xml:space="preserve"> IF(COUNTIF($D$2:$D985,$D$3)&gt;1,"duplicated","original")</f>
        <v>duplicated</v>
      </c>
      <c r="L231" s="2">
        <f>COUNTIF($D$2:$D231,D231)</f>
        <v>12</v>
      </c>
      <c r="M231" t="str">
        <f xml:space="preserve"> IF(COUNTIF($I$2:$I985,I231)&gt;1,"duplicated","original")</f>
        <v>duplicated</v>
      </c>
      <c r="N231" s="2">
        <f>COUNTIF($I$2:$I231,I231)</f>
        <v>14</v>
      </c>
      <c r="O231" s="8">
        <f t="shared" si="12"/>
        <v>3.3142714612106796</v>
      </c>
      <c r="P231" s="8">
        <f t="shared" si="13"/>
        <v>3.0372631578852487</v>
      </c>
      <c r="Q231">
        <v>64</v>
      </c>
      <c r="R231" s="9">
        <f t="shared" si="15"/>
        <v>-0.25717007345578718</v>
      </c>
      <c r="S231">
        <v>25</v>
      </c>
      <c r="T231" s="9">
        <f t="shared" si="14"/>
        <v>-2.3081297466473885</v>
      </c>
    </row>
    <row r="232" spans="1:20" x14ac:dyDescent="0.25">
      <c r="A232">
        <v>231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>
        <v>1</v>
      </c>
      <c r="K232" t="str">
        <f xml:space="preserve"> IF(COUNTIF($D$2:$D1000,D232)&gt;1,"duplicated","original")</f>
        <v>duplicated</v>
      </c>
      <c r="L232" s="2">
        <f>COUNTIF($D$2:$D232,D232)</f>
        <v>3</v>
      </c>
      <c r="M232" t="str">
        <f xml:space="preserve"> IF(COUNTIF($I$2:$I1000,I232)&gt;1,"duplicated","original")</f>
        <v>duplicated</v>
      </c>
      <c r="N232" s="2">
        <f>COUNTIF($I$2:$I232,I232)</f>
        <v>20</v>
      </c>
      <c r="O232" s="8">
        <f t="shared" si="12"/>
        <v>4.121212845582666</v>
      </c>
      <c r="P232" s="8">
        <f t="shared" si="13"/>
        <v>3.3503682618851132</v>
      </c>
      <c r="Q232">
        <v>64</v>
      </c>
      <c r="R232" s="9">
        <f t="shared" si="15"/>
        <v>-0.25717007345578718</v>
      </c>
      <c r="S232">
        <v>25</v>
      </c>
      <c r="T232" s="9">
        <f t="shared" si="14"/>
        <v>-2.4106777303069684</v>
      </c>
    </row>
    <row r="233" spans="1:20" x14ac:dyDescent="0.25">
      <c r="A233">
        <v>232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>
        <v>1</v>
      </c>
      <c r="K233" t="str">
        <f xml:space="preserve"> IF(COUNTIF($D$2:$D1001,D233)&gt;1,"duplicated","original")</f>
        <v>duplicated</v>
      </c>
      <c r="L233" s="2">
        <f>COUNTIF($D$2:$D233,D233)</f>
        <v>13</v>
      </c>
      <c r="M233" t="str">
        <f xml:space="preserve"> IF(COUNTIF($I$2:$I1001,I233)&gt;1,"duplicated","original")</f>
        <v>duplicated</v>
      </c>
      <c r="N233" s="2">
        <f>COUNTIF($I$2:$I233,I233)</f>
        <v>3</v>
      </c>
      <c r="O233" s="8">
        <f t="shared" si="12"/>
        <v>3.3142714612106796</v>
      </c>
      <c r="P233" s="8">
        <f t="shared" si="13"/>
        <v>3.5742177479489028</v>
      </c>
      <c r="Q233">
        <v>64</v>
      </c>
      <c r="R233" s="9">
        <f t="shared" si="15"/>
        <v>-0.25717007345578718</v>
      </c>
      <c r="S233">
        <v>25</v>
      </c>
      <c r="T233" s="9">
        <f t="shared" si="14"/>
        <v>-1.1801019263920078</v>
      </c>
    </row>
    <row r="234" spans="1:20" x14ac:dyDescent="0.25">
      <c r="A234">
        <v>233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>
        <v>0</v>
      </c>
      <c r="K234" t="str">
        <f xml:space="preserve"> IF(COUNTIF($D$2:$D988,$D$3)&gt;1,"duplicated","original")</f>
        <v>duplicated</v>
      </c>
      <c r="L234" s="2">
        <f>COUNTIF($D$2:$D234,D234)</f>
        <v>14</v>
      </c>
      <c r="M234" t="str">
        <f xml:space="preserve"> IF(COUNTIF($I$2:$I1002,I234)&gt;1,"duplicated","original")</f>
        <v>duplicated</v>
      </c>
      <c r="N234" s="2">
        <f>COUNTIF($I$2:$I234,I234)</f>
        <v>21</v>
      </c>
      <c r="O234" s="8">
        <f t="shared" si="12"/>
        <v>3.3142714612106796</v>
      </c>
      <c r="P234" s="8">
        <f t="shared" si="13"/>
        <v>3.3503682618851132</v>
      </c>
      <c r="Q234">
        <v>64</v>
      </c>
      <c r="R234" s="9">
        <f t="shared" si="15"/>
        <v>-0.25717007345578718</v>
      </c>
      <c r="S234">
        <v>25</v>
      </c>
      <c r="T234" s="9">
        <f t="shared" si="14"/>
        <v>-2.4106777303069684</v>
      </c>
    </row>
    <row r="235" spans="1:20" x14ac:dyDescent="0.25">
      <c r="A235">
        <v>234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>
        <v>0</v>
      </c>
      <c r="K235" t="str">
        <f xml:space="preserve"> IF(COUNTIF($D$2:$D1003,D235)&gt;1,"duplicated","original")</f>
        <v>duplicated</v>
      </c>
      <c r="L235" s="2">
        <f>COUNTIF($D$2:$D235,D235)</f>
        <v>11</v>
      </c>
      <c r="M235" t="str">
        <f xml:space="preserve"> IF(COUNTIF($I$2:$I989,I235)&gt;1,"duplicated","original")</f>
        <v>duplicated</v>
      </c>
      <c r="N235" s="2">
        <f>COUNTIF($I$2:$I235,I235)</f>
        <v>10</v>
      </c>
      <c r="O235" s="8">
        <f t="shared" si="12"/>
        <v>1.0077721376404618</v>
      </c>
      <c r="P235" s="8">
        <f t="shared" si="13"/>
        <v>2.0554725710276638</v>
      </c>
      <c r="Q235">
        <v>64</v>
      </c>
      <c r="R235" s="9">
        <f t="shared" si="15"/>
        <v>-0.25717007345578718</v>
      </c>
      <c r="S235">
        <v>25</v>
      </c>
      <c r="T235" s="9">
        <f t="shared" si="14"/>
        <v>-2.0517597874984381</v>
      </c>
    </row>
    <row r="236" spans="1:20" x14ac:dyDescent="0.25">
      <c r="A236">
        <v>235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>
        <v>0</v>
      </c>
      <c r="K236" t="str">
        <f xml:space="preserve"> IF(COUNTIF($D$2:$D1004,D236)&gt;1,"duplicated","original")</f>
        <v>duplicated</v>
      </c>
      <c r="L236" s="2">
        <f>COUNTIF($D$2:$D236,D236)</f>
        <v>12</v>
      </c>
      <c r="M236" t="str">
        <f xml:space="preserve"> IF(COUNTIF($I$2:$I1004,I236)&gt;1,"duplicated","original")</f>
        <v>duplicated</v>
      </c>
      <c r="N236" s="2">
        <f>COUNTIF($I$2:$I236,I236)</f>
        <v>13</v>
      </c>
      <c r="O236" s="8">
        <f t="shared" si="12"/>
        <v>1.0077721376404618</v>
      </c>
      <c r="P236" s="8">
        <f t="shared" si="13"/>
        <v>3.1976503076864229</v>
      </c>
      <c r="Q236">
        <v>64</v>
      </c>
      <c r="R236" s="9">
        <f t="shared" si="15"/>
        <v>-0.25717007345578718</v>
      </c>
      <c r="S236">
        <v>25</v>
      </c>
      <c r="T236" s="9">
        <f t="shared" si="14"/>
        <v>-2.3594037384771784</v>
      </c>
    </row>
    <row r="237" spans="1:20" x14ac:dyDescent="0.25">
      <c r="A237">
        <v>236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>
        <v>1</v>
      </c>
      <c r="K237" t="str">
        <f xml:space="preserve"> IF(COUNTIF($D$2:$D991,$D$3)&gt;1,"duplicated","original")</f>
        <v>duplicated</v>
      </c>
      <c r="L237" s="2">
        <f>COUNTIF($D$2:$D237,D237)</f>
        <v>17</v>
      </c>
      <c r="M237" t="str">
        <f xml:space="preserve"> IF(COUNTIF($I$2:$I1005,I237)&gt;1,"duplicated","original")</f>
        <v>duplicated</v>
      </c>
      <c r="N237" s="2">
        <f>COUNTIF($I$2:$I237,I237)</f>
        <v>13</v>
      </c>
      <c r="O237" s="8">
        <f t="shared" si="12"/>
        <v>1.7275402509335562</v>
      </c>
      <c r="P237" s="8">
        <f t="shared" si="13"/>
        <v>2.6879299637912952</v>
      </c>
      <c r="Q237">
        <v>64</v>
      </c>
      <c r="R237" s="9">
        <f t="shared" si="15"/>
        <v>-0.25717007345578718</v>
      </c>
      <c r="S237">
        <v>25</v>
      </c>
      <c r="T237" s="9">
        <f t="shared" si="14"/>
        <v>-2.2055817629878085</v>
      </c>
    </row>
    <row r="238" spans="1:20" x14ac:dyDescent="0.25">
      <c r="A238">
        <v>237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>
        <v>1</v>
      </c>
      <c r="K238" t="str">
        <f xml:space="preserve"> IF(COUNTIF($D$2:$D1006,D238)&gt;1,"duplicated","original")</f>
        <v>duplicated</v>
      </c>
      <c r="L238" s="2">
        <f>COUNTIF($D$2:$D238,D238)</f>
        <v>7</v>
      </c>
      <c r="M238" t="str">
        <f xml:space="preserve"> IF(COUNTIF($I$2:$I1006,I238)&gt;1,"duplicated","original")</f>
        <v>duplicated</v>
      </c>
      <c r="N238" s="2">
        <f>COUNTIF($I$2:$I238,I238)</f>
        <v>3</v>
      </c>
      <c r="O238" s="8">
        <f t="shared" si="12"/>
        <v>3.8709682662863014</v>
      </c>
      <c r="P238" s="8">
        <f t="shared" si="13"/>
        <v>4.2160446522484705</v>
      </c>
      <c r="Q238">
        <v>64</v>
      </c>
      <c r="R238" s="9">
        <f t="shared" si="15"/>
        <v>-0.25717007345578718</v>
      </c>
      <c r="S238">
        <v>25</v>
      </c>
      <c r="T238" s="9">
        <f t="shared" si="14"/>
        <v>-0.92373196724305762</v>
      </c>
    </row>
    <row r="239" spans="1:20" x14ac:dyDescent="0.25">
      <c r="A239">
        <v>238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>
        <v>1</v>
      </c>
      <c r="K239" t="str">
        <f xml:space="preserve"> IF(COUNTIF($D$2:$D1007,D239)&gt;1,"duplicated","original")</f>
        <v>duplicated</v>
      </c>
      <c r="L239" s="2">
        <f>COUNTIF($D$2:$D239,D239)</f>
        <v>8</v>
      </c>
      <c r="M239" t="str">
        <f xml:space="preserve"> IF(COUNTIF($I$2:$I993,I239)&gt;1,"duplicated","original")</f>
        <v>duplicated</v>
      </c>
      <c r="N239" s="2">
        <f>COUNTIF($I$2:$I239,I239)</f>
        <v>14</v>
      </c>
      <c r="O239" s="8">
        <f t="shared" si="12"/>
        <v>4.5808727682173815</v>
      </c>
      <c r="P239" s="8">
        <f t="shared" si="13"/>
        <v>3.1976503076864229</v>
      </c>
      <c r="Q239">
        <v>65</v>
      </c>
      <c r="R239" s="9">
        <f t="shared" si="15"/>
        <v>-0.20589608162599715</v>
      </c>
      <c r="S239">
        <v>25</v>
      </c>
      <c r="T239" s="9">
        <f t="shared" si="14"/>
        <v>-2.3594037384771784</v>
      </c>
    </row>
    <row r="240" spans="1:20" x14ac:dyDescent="0.25">
      <c r="A240">
        <v>239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>
        <v>1</v>
      </c>
      <c r="K240" t="str">
        <f xml:space="preserve"> IF(COUNTIF($D$2:$D994,$D$3)&gt;1,"duplicated","original")</f>
        <v>duplicated</v>
      </c>
      <c r="L240" s="2">
        <f>COUNTIF($D$2:$D240,D240)</f>
        <v>8</v>
      </c>
      <c r="M240" t="str">
        <f xml:space="preserve"> IF(COUNTIF($I$2:$I1008,I240)&gt;1,"duplicated","original")</f>
        <v>duplicated</v>
      </c>
      <c r="N240" s="2">
        <f>COUNTIF($I$2:$I240,I240)</f>
        <v>10</v>
      </c>
      <c r="O240" s="8">
        <f t="shared" si="12"/>
        <v>3.8709682662863014</v>
      </c>
      <c r="P240" s="8">
        <f t="shared" si="13"/>
        <v>1.1067824945521474</v>
      </c>
      <c r="Q240">
        <v>65</v>
      </c>
      <c r="R240" s="9">
        <f t="shared" si="15"/>
        <v>-0.20589608162599715</v>
      </c>
      <c r="S240">
        <v>25</v>
      </c>
      <c r="T240" s="9">
        <f t="shared" si="14"/>
        <v>-1.8979378120090682</v>
      </c>
    </row>
    <row r="241" spans="1:20" x14ac:dyDescent="0.25">
      <c r="A241">
        <v>240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>
        <v>0</v>
      </c>
      <c r="K241" t="str">
        <f xml:space="preserve"> IF(COUNTIF($D$2:$D1009,D241)&gt;1,"duplicated","original")</f>
        <v>duplicated</v>
      </c>
      <c r="L241" s="2">
        <f>COUNTIF($D$2:$D241,D241)</f>
        <v>12</v>
      </c>
      <c r="M241" t="str">
        <f xml:space="preserve"> IF(COUNTIF($I$2:$I1009,I241)&gt;1,"duplicated","original")</f>
        <v>duplicated</v>
      </c>
      <c r="N241" s="2">
        <f>COUNTIF($I$2:$I241,I241)</f>
        <v>12</v>
      </c>
      <c r="O241" s="8">
        <f t="shared" si="12"/>
        <v>2.642800658126824</v>
      </c>
      <c r="P241" s="8">
        <f t="shared" si="13"/>
        <v>2.4949884749727951</v>
      </c>
      <c r="Q241">
        <v>65</v>
      </c>
      <c r="R241" s="9">
        <f t="shared" si="15"/>
        <v>-0.20589608162599715</v>
      </c>
      <c r="S241">
        <v>25</v>
      </c>
      <c r="T241" s="9">
        <f t="shared" si="14"/>
        <v>-2.1543077711580185</v>
      </c>
    </row>
    <row r="242" spans="1:20" x14ac:dyDescent="0.25">
      <c r="A242">
        <v>241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>
        <v>0</v>
      </c>
      <c r="K242" t="str">
        <f xml:space="preserve"> IF(COUNTIF($D$2:$D1010,D242)&gt;1,"duplicated","original")</f>
        <v>duplicated</v>
      </c>
      <c r="L242" s="2">
        <f>COUNTIF($D$2:$D242,D242)</f>
        <v>14</v>
      </c>
      <c r="M242" t="str">
        <f xml:space="preserve"> IF(COUNTIF($I$2:$I1010,I242)&gt;1,"duplicated","original")</f>
        <v>duplicated</v>
      </c>
      <c r="N242" s="2">
        <f>COUNTIF($I$2:$I242,I242)</f>
        <v>19</v>
      </c>
      <c r="O242" s="8">
        <f t="shared" si="12"/>
        <v>2.2395545720978594</v>
      </c>
      <c r="P242" s="8">
        <f t="shared" si="13"/>
        <v>3.4964220984096119</v>
      </c>
      <c r="Q242">
        <v>65</v>
      </c>
      <c r="R242" s="9">
        <f t="shared" si="15"/>
        <v>-0.20589608162599715</v>
      </c>
      <c r="S242">
        <v>25</v>
      </c>
      <c r="T242" s="9">
        <f t="shared" si="14"/>
        <v>-2.4619517221367584</v>
      </c>
    </row>
    <row r="243" spans="1:20" x14ac:dyDescent="0.25">
      <c r="A243">
        <v>242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>
        <v>0</v>
      </c>
      <c r="K243" t="str">
        <f xml:space="preserve"> IF(COUNTIF($D$2:$D997,$D$3)&gt;1,"duplicated","original")</f>
        <v>duplicated</v>
      </c>
      <c r="L243" s="2">
        <f>COUNTIF($D$2:$D243,D243)</f>
        <v>15</v>
      </c>
      <c r="M243" t="str">
        <f xml:space="preserve"> IF(COUNTIF($I$2:$I997,I243)&gt;1,"duplicated","original")</f>
        <v>duplicated</v>
      </c>
      <c r="N243" s="2">
        <f>COUNTIF($I$2:$I243,I243)</f>
        <v>22</v>
      </c>
      <c r="O243" s="8">
        <f t="shared" si="12"/>
        <v>0.99216698120607405</v>
      </c>
      <c r="P243" s="8">
        <f t="shared" si="13"/>
        <v>3.3503682618851132</v>
      </c>
      <c r="Q243">
        <v>65</v>
      </c>
      <c r="R243" s="9">
        <f t="shared" si="15"/>
        <v>-0.20589608162599715</v>
      </c>
      <c r="S243">
        <v>25</v>
      </c>
      <c r="T243" s="9">
        <f t="shared" si="14"/>
        <v>-2.4106777303069684</v>
      </c>
    </row>
    <row r="244" spans="1:20" x14ac:dyDescent="0.25">
      <c r="A244">
        <v>243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>
        <v>1</v>
      </c>
      <c r="K244" t="str">
        <f xml:space="preserve"> IF(COUNTIF($D$2:$D1012,D244)&gt;1,"duplicated","original")</f>
        <v>duplicated</v>
      </c>
      <c r="L244" s="2">
        <f>COUNTIF($D$2:$D244,D244)</f>
        <v>2</v>
      </c>
      <c r="M244" t="str">
        <f xml:space="preserve"> IF(COUNTIF($I$2:$I1012,I244)&gt;1,"duplicated","original")</f>
        <v>duplicated</v>
      </c>
      <c r="N244" s="2">
        <f>COUNTIF($I$2:$I244,I244)</f>
        <v>23</v>
      </c>
      <c r="O244" s="8">
        <f t="shared" si="12"/>
        <v>3.8749973782448452</v>
      </c>
      <c r="P244" s="8">
        <f t="shared" si="13"/>
        <v>3.3503682618851132</v>
      </c>
      <c r="Q244">
        <v>65</v>
      </c>
      <c r="R244" s="9">
        <f t="shared" si="15"/>
        <v>-0.20589608162599715</v>
      </c>
      <c r="S244">
        <v>25</v>
      </c>
      <c r="T244" s="9">
        <f t="shared" si="14"/>
        <v>-2.4106777303069684</v>
      </c>
    </row>
    <row r="245" spans="1:20" x14ac:dyDescent="0.25">
      <c r="A245">
        <v>244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>
        <v>1</v>
      </c>
      <c r="K245" t="str">
        <f xml:space="preserve"> IF(COUNTIF($D$2:$D1013,D245)&gt;1,"duplicated","original")</f>
        <v>duplicated</v>
      </c>
      <c r="L245" s="2">
        <f>COUNTIF($D$2:$D245,D245)</f>
        <v>5</v>
      </c>
      <c r="M245" t="str">
        <f xml:space="preserve"> IF(COUNTIF($I$2:$I1013,I245)&gt;1,"duplicated","original")</f>
        <v>duplicated</v>
      </c>
      <c r="N245" s="2">
        <f>COUNTIF($I$2:$I245,I245)</f>
        <v>9</v>
      </c>
      <c r="O245" s="8">
        <f t="shared" si="12"/>
        <v>4.3606885558824793</v>
      </c>
      <c r="P245" s="8">
        <f t="shared" si="13"/>
        <v>0.47430737949885876</v>
      </c>
      <c r="Q245">
        <v>65</v>
      </c>
      <c r="R245" s="9">
        <f t="shared" si="15"/>
        <v>-0.20589608162599715</v>
      </c>
      <c r="S245">
        <v>25</v>
      </c>
      <c r="T245" s="9">
        <f t="shared" si="14"/>
        <v>-1.8466638201792782</v>
      </c>
    </row>
    <row r="246" spans="1:20" x14ac:dyDescent="0.25">
      <c r="A246">
        <v>245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>
        <v>0</v>
      </c>
      <c r="K246" t="str">
        <f xml:space="preserve"> IF(COUNTIF($D$2:$D1000,$D$3)&gt;1,"duplicated","original")</f>
        <v>duplicated</v>
      </c>
      <c r="L246" s="2">
        <f>COUNTIF($D$2:$D246,D246)</f>
        <v>13</v>
      </c>
      <c r="M246" t="str">
        <f xml:space="preserve"> IF(COUNTIF($I$2:$I1014,I246)&gt;1,"duplicated","original")</f>
        <v>duplicated</v>
      </c>
      <c r="N246" s="2">
        <f>COUNTIF($I$2:$I246,I246)</f>
        <v>11</v>
      </c>
      <c r="O246" s="8">
        <f t="shared" si="12"/>
        <v>2.642800658126824</v>
      </c>
      <c r="P246" s="8">
        <f t="shared" si="13"/>
        <v>2.0554725710276638</v>
      </c>
      <c r="Q246">
        <v>66</v>
      </c>
      <c r="R246" s="9">
        <f t="shared" si="15"/>
        <v>-0.15462208979620712</v>
      </c>
      <c r="S246">
        <v>25</v>
      </c>
      <c r="T246" s="9">
        <f t="shared" si="14"/>
        <v>-2.0517597874984381</v>
      </c>
    </row>
    <row r="247" spans="1:20" x14ac:dyDescent="0.25">
      <c r="A247">
        <v>246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>
        <v>1</v>
      </c>
      <c r="K247" t="str">
        <f xml:space="preserve"> IF(COUNTIF($D$2:$D1015,D247)&gt;1,"duplicated","original")</f>
        <v>duplicated</v>
      </c>
      <c r="L247" s="2">
        <f>COUNTIF($D$2:$D247,D247)</f>
        <v>4</v>
      </c>
      <c r="M247" t="str">
        <f xml:space="preserve"> IF(COUNTIF($I$2:$I1001,I247)&gt;1,"duplicated","original")</f>
        <v>duplicated</v>
      </c>
      <c r="N247" s="2">
        <f>COUNTIF($I$2:$I247,I247)</f>
        <v>1</v>
      </c>
      <c r="O247" s="8">
        <f t="shared" si="12"/>
        <v>3.9980489389945659</v>
      </c>
      <c r="P247" s="8">
        <f t="shared" si="13"/>
        <v>3.9717795142420638</v>
      </c>
      <c r="Q247">
        <v>66</v>
      </c>
      <c r="R247" s="9">
        <f t="shared" si="15"/>
        <v>-0.15462208979620712</v>
      </c>
      <c r="S247">
        <v>25</v>
      </c>
      <c r="T247" s="9">
        <f t="shared" si="14"/>
        <v>-1.0262799509026377</v>
      </c>
    </row>
    <row r="248" spans="1:20" x14ac:dyDescent="0.25">
      <c r="A248">
        <v>247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>
        <v>0</v>
      </c>
      <c r="K248" t="str">
        <f xml:space="preserve"> IF(COUNTIF($D$2:$D1016,D248)&gt;1,"duplicated","original")</f>
        <v>duplicated</v>
      </c>
      <c r="L248" s="2">
        <f>COUNTIF($D$2:$D248,D248)</f>
        <v>13</v>
      </c>
      <c r="M248" t="str">
        <f xml:space="preserve"> IF(COUNTIF($I$2:$I1016,I248)&gt;1,"duplicated","original")</f>
        <v>duplicated</v>
      </c>
      <c r="N248" s="2">
        <f>COUNTIF($I$2:$I248,I248)</f>
        <v>10</v>
      </c>
      <c r="O248" s="8">
        <f t="shared" si="12"/>
        <v>1.0077721376404618</v>
      </c>
      <c r="P248" s="8">
        <f t="shared" si="13"/>
        <v>2.7883745282427403</v>
      </c>
      <c r="Q248">
        <v>66</v>
      </c>
      <c r="R248" s="9">
        <f t="shared" si="15"/>
        <v>-0.15462208979620712</v>
      </c>
      <c r="S248">
        <v>25</v>
      </c>
      <c r="T248" s="9">
        <f t="shared" si="14"/>
        <v>-1.4364718855409579</v>
      </c>
    </row>
    <row r="249" spans="1:20" x14ac:dyDescent="0.25">
      <c r="A249">
        <v>248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>
        <v>0</v>
      </c>
      <c r="K249" t="str">
        <f xml:space="preserve"> IF(COUNTIF($D$2:$D1003,$D$3)&gt;1,"duplicated","original")</f>
        <v>duplicated</v>
      </c>
      <c r="L249" s="2">
        <f>COUNTIF($D$2:$D249,D249)</f>
        <v>9</v>
      </c>
      <c r="M249" t="str">
        <f xml:space="preserve"> IF(COUNTIF($I$2:$I1017,I249)&gt;1,"duplicated","original")</f>
        <v>duplicated</v>
      </c>
      <c r="N249" s="2">
        <f>COUNTIF($I$2:$I249,I249)</f>
        <v>15</v>
      </c>
      <c r="O249" s="8">
        <f t="shared" si="12"/>
        <v>4.5808727682173815</v>
      </c>
      <c r="P249" s="8">
        <f t="shared" si="13"/>
        <v>3.1976503076864229</v>
      </c>
      <c r="Q249">
        <v>66</v>
      </c>
      <c r="R249" s="9">
        <f t="shared" si="15"/>
        <v>-0.15462208979620712</v>
      </c>
      <c r="S249">
        <v>25</v>
      </c>
      <c r="T249" s="9">
        <f t="shared" si="14"/>
        <v>-2.3594037384771784</v>
      </c>
    </row>
    <row r="250" spans="1:20" x14ac:dyDescent="0.25">
      <c r="A250">
        <v>249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>
        <v>0</v>
      </c>
      <c r="K250" t="str">
        <f xml:space="preserve"> IF(COUNTIF($D$2:$D1018,D250)&gt;1,"duplicated","original")</f>
        <v>duplicated</v>
      </c>
      <c r="L250" s="2">
        <f>COUNTIF($D$2:$D250,D250)</f>
        <v>16</v>
      </c>
      <c r="M250" t="str">
        <f xml:space="preserve"> IF(COUNTIF($I$2:$I1018,I250)&gt;1,"duplicated","original")</f>
        <v>duplicated</v>
      </c>
      <c r="N250" s="2">
        <f>COUNTIF($I$2:$I250,I250)</f>
        <v>5</v>
      </c>
      <c r="O250" s="8">
        <f t="shared" si="12"/>
        <v>0.99216698120607405</v>
      </c>
      <c r="P250" s="8">
        <f t="shared" si="13"/>
        <v>0.88035930718822164</v>
      </c>
      <c r="Q250">
        <v>66</v>
      </c>
      <c r="R250" s="9">
        <f t="shared" si="15"/>
        <v>-0.15462208979620712</v>
      </c>
      <c r="S250">
        <v>25</v>
      </c>
      <c r="T250" s="9">
        <f t="shared" si="14"/>
        <v>-1.795389828349488</v>
      </c>
    </row>
    <row r="251" spans="1:20" x14ac:dyDescent="0.25">
      <c r="A251">
        <v>250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>
        <v>0</v>
      </c>
      <c r="K251" t="str">
        <f xml:space="preserve"> IF(COUNTIF($D$2:$D1019,D251)&gt;1,"duplicated","original")</f>
        <v>duplicated</v>
      </c>
      <c r="L251" s="2">
        <f>COUNTIF($D$2:$D251,D251)</f>
        <v>4</v>
      </c>
      <c r="M251" t="str">
        <f xml:space="preserve"> IF(COUNTIF($I$2:$I1005,I251)&gt;1,"duplicated","original")</f>
        <v>duplicated</v>
      </c>
      <c r="N251" s="2">
        <f>COUNTIF($I$2:$I251,I251)</f>
        <v>16</v>
      </c>
      <c r="O251" s="8">
        <f t="shared" si="12"/>
        <v>4.121212845582666</v>
      </c>
      <c r="P251" s="8">
        <f t="shared" si="13"/>
        <v>3.1976503076864229</v>
      </c>
      <c r="Q251">
        <v>66</v>
      </c>
      <c r="R251" s="9">
        <f t="shared" si="15"/>
        <v>-0.15462208979620712</v>
      </c>
      <c r="S251">
        <v>25</v>
      </c>
      <c r="T251" s="9">
        <f t="shared" si="14"/>
        <v>-2.3594037384771784</v>
      </c>
    </row>
    <row r="252" spans="1:20" x14ac:dyDescent="0.25">
      <c r="A252">
        <v>251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>
        <v>0</v>
      </c>
      <c r="K252" t="str">
        <f xml:space="preserve"> IF(COUNTIF($D$2:$D1006,$D$3)&gt;1,"duplicated","original")</f>
        <v>duplicated</v>
      </c>
      <c r="L252" s="2">
        <f>COUNTIF($D$2:$D252,D252)</f>
        <v>4</v>
      </c>
      <c r="M252" t="str">
        <f xml:space="preserve"> IF(COUNTIF($I$2:$I1020,I252)&gt;1,"duplicated","original")</f>
        <v>duplicated</v>
      </c>
      <c r="N252" s="2">
        <f>COUNTIF($I$2:$I252,I252)</f>
        <v>9</v>
      </c>
      <c r="O252" s="8">
        <f t="shared" si="12"/>
        <v>4.1249975371391949</v>
      </c>
      <c r="P252" s="8">
        <f t="shared" si="13"/>
        <v>2.9622681360324097</v>
      </c>
      <c r="Q252">
        <v>66</v>
      </c>
      <c r="R252" s="9">
        <f t="shared" si="15"/>
        <v>-0.15462208979620712</v>
      </c>
      <c r="S252">
        <v>25</v>
      </c>
      <c r="T252" s="9">
        <f t="shared" si="14"/>
        <v>-1.385197893711168</v>
      </c>
    </row>
    <row r="253" spans="1:20" x14ac:dyDescent="0.25">
      <c r="A253">
        <v>252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>
        <v>0</v>
      </c>
      <c r="K253" t="str">
        <f xml:space="preserve"> IF(COUNTIF($D$2:$D1021,D253)&gt;1,"duplicated","original")</f>
        <v>duplicated</v>
      </c>
      <c r="L253" s="2">
        <f>COUNTIF($D$2:$D253,D253)</f>
        <v>9</v>
      </c>
      <c r="M253" t="str">
        <f xml:space="preserve"> IF(COUNTIF($I$2:$I1021,I253)&gt;1,"duplicated","original")</f>
        <v>duplicated</v>
      </c>
      <c r="N253" s="2">
        <f>COUNTIF($I$2:$I253,I253)</f>
        <v>13</v>
      </c>
      <c r="O253" s="8">
        <f t="shared" si="12"/>
        <v>3.8709682662863014</v>
      </c>
      <c r="P253" s="8">
        <f t="shared" si="13"/>
        <v>2.4949884749727951</v>
      </c>
      <c r="Q253">
        <v>66</v>
      </c>
      <c r="R253" s="9">
        <f t="shared" si="15"/>
        <v>-0.15462208979620712</v>
      </c>
      <c r="S253">
        <v>25</v>
      </c>
      <c r="T253" s="9">
        <f t="shared" si="14"/>
        <v>-2.1543077711580185</v>
      </c>
    </row>
    <row r="254" spans="1:20" x14ac:dyDescent="0.25">
      <c r="A254">
        <v>253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>
        <v>0</v>
      </c>
      <c r="K254" t="str">
        <f xml:space="preserve"> IF(COUNTIF($D$2:$D1022,D254)&gt;1,"duplicated","original")</f>
        <v>duplicated</v>
      </c>
      <c r="L254" s="2">
        <f>COUNTIF($D$2:$D254,D254)</f>
        <v>15</v>
      </c>
      <c r="M254" t="str">
        <f xml:space="preserve"> IF(COUNTIF($I$2:$I1022,I254)&gt;1,"duplicated","original")</f>
        <v>duplicated</v>
      </c>
      <c r="N254" s="2">
        <f>COUNTIF($I$2:$I254,I254)</f>
        <v>15</v>
      </c>
      <c r="O254" s="8">
        <f t="shared" si="12"/>
        <v>3.3142714612106796</v>
      </c>
      <c r="P254" s="8">
        <f t="shared" si="13"/>
        <v>3.0372631578852487</v>
      </c>
      <c r="Q254">
        <v>66</v>
      </c>
      <c r="R254" s="9">
        <f t="shared" si="15"/>
        <v>-0.15462208979620712</v>
      </c>
      <c r="S254">
        <v>25</v>
      </c>
      <c r="T254" s="9">
        <f t="shared" si="14"/>
        <v>-2.3081297466473885</v>
      </c>
    </row>
    <row r="255" spans="1:20" x14ac:dyDescent="0.25">
      <c r="A255">
        <v>254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>
        <v>0</v>
      </c>
      <c r="K255" t="str">
        <f xml:space="preserve"> IF(COUNTIF($D$2:$D1009,$D$3)&gt;1,"duplicated","original")</f>
        <v>duplicated</v>
      </c>
      <c r="L255" s="2">
        <f>COUNTIF($D$2:$D255,D255)</f>
        <v>14</v>
      </c>
      <c r="M255" t="str">
        <f xml:space="preserve"> IF(COUNTIF($I$2:$I1009,I255)&gt;1,"duplicated","original")</f>
        <v>duplicated</v>
      </c>
      <c r="N255" s="2">
        <f>COUNTIF($I$2:$I255,I255)</f>
        <v>11</v>
      </c>
      <c r="O255" s="8">
        <f t="shared" si="12"/>
        <v>1.0077721376404618</v>
      </c>
      <c r="P255" s="8">
        <f t="shared" si="13"/>
        <v>2.8679204121186967</v>
      </c>
      <c r="Q255">
        <v>66</v>
      </c>
      <c r="R255" s="9">
        <f t="shared" si="15"/>
        <v>-0.15462208979620712</v>
      </c>
      <c r="S255">
        <v>25</v>
      </c>
      <c r="T255" s="9">
        <f t="shared" si="14"/>
        <v>-2.2568557548175985</v>
      </c>
    </row>
    <row r="256" spans="1:20" x14ac:dyDescent="0.25">
      <c r="A256">
        <v>255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>
        <v>1</v>
      </c>
      <c r="K256" t="str">
        <f xml:space="preserve"> IF(COUNTIF($D$2:$D1024,D256)&gt;1,"duplicated","original")</f>
        <v>duplicated</v>
      </c>
      <c r="L256" s="2">
        <f>COUNTIF($D$2:$D256,D256)</f>
        <v>9</v>
      </c>
      <c r="M256" t="str">
        <f xml:space="preserve"> IF(COUNTIF($I$2:$I1024,I256)&gt;1,"duplicated","original")</f>
        <v>duplicated</v>
      </c>
      <c r="N256" s="2">
        <f>COUNTIF($I$2:$I256,I256)</f>
        <v>2</v>
      </c>
      <c r="O256" s="8">
        <f t="shared" si="12"/>
        <v>2.648698676974115</v>
      </c>
      <c r="P256" s="8">
        <f t="shared" si="13"/>
        <v>3.282534464366357</v>
      </c>
      <c r="Q256">
        <v>66</v>
      </c>
      <c r="R256" s="9">
        <f t="shared" si="15"/>
        <v>-0.15462208979620712</v>
      </c>
      <c r="S256">
        <v>25</v>
      </c>
      <c r="T256" s="9">
        <f t="shared" si="14"/>
        <v>-1.2826499100515878</v>
      </c>
    </row>
    <row r="257" spans="1:20" x14ac:dyDescent="0.25">
      <c r="A257">
        <v>256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>
        <v>1</v>
      </c>
      <c r="K257" t="str">
        <f xml:space="preserve"> IF(COUNTIF($D$2:$D1025,D257)&gt;1,"duplicated","original")</f>
        <v>duplicated</v>
      </c>
      <c r="L257" s="2">
        <f>COUNTIF($D$2:$D257,D257)</f>
        <v>15</v>
      </c>
      <c r="M257" t="str">
        <f xml:space="preserve"> IF(COUNTIF($I$2:$I1025,I257)&gt;1,"duplicated","original")</f>
        <v>duplicated</v>
      </c>
      <c r="N257" s="2">
        <f>COUNTIF($I$2:$I257,I257)</f>
        <v>20</v>
      </c>
      <c r="O257" s="8">
        <f t="shared" si="12"/>
        <v>2.2395545720978594</v>
      </c>
      <c r="P257" s="8">
        <f t="shared" si="13"/>
        <v>3.4964220984096119</v>
      </c>
      <c r="Q257">
        <v>66</v>
      </c>
      <c r="R257" s="9">
        <f t="shared" si="15"/>
        <v>-0.15462208979620712</v>
      </c>
      <c r="S257">
        <v>25</v>
      </c>
      <c r="T257" s="9">
        <f t="shared" si="14"/>
        <v>-2.4619517221367584</v>
      </c>
    </row>
    <row r="258" spans="1:20" x14ac:dyDescent="0.25">
      <c r="A258">
        <v>257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>
        <v>0</v>
      </c>
      <c r="K258" t="str">
        <f xml:space="preserve"> IF(COUNTIF($D$2:$D1012,$D$3)&gt;1,"duplicated","original")</f>
        <v>duplicated</v>
      </c>
      <c r="L258" s="2">
        <f>COUNTIF($D$2:$D258,D258)</f>
        <v>5</v>
      </c>
      <c r="M258" t="str">
        <f xml:space="preserve"> IF(COUNTIF($I$2:$I1026,I258)&gt;1,"duplicated","original")</f>
        <v>duplicated</v>
      </c>
      <c r="N258" s="2">
        <f>COUNTIF($I$2:$I258,I258)</f>
        <v>6</v>
      </c>
      <c r="O258" s="8">
        <f t="shared" ref="O258:O321" si="16">SQRT(ABS($D258 - $U$8))</f>
        <v>3.6077146064239098</v>
      </c>
      <c r="P258" s="8">
        <f t="shared" ref="P258:P321" si="17">SQRT(ABS($I258 - $W$8))</f>
        <v>1.7958194481202931</v>
      </c>
      <c r="Q258">
        <v>66</v>
      </c>
      <c r="R258" s="9">
        <f t="shared" si="15"/>
        <v>-0.15462208979620712</v>
      </c>
      <c r="S258">
        <v>25</v>
      </c>
      <c r="T258" s="9">
        <f t="shared" si="14"/>
        <v>-2.0004857956686481</v>
      </c>
    </row>
    <row r="259" spans="1:20" x14ac:dyDescent="0.25">
      <c r="A259">
        <v>258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>
        <v>0</v>
      </c>
      <c r="K259" t="str">
        <f xml:space="preserve"> IF(COUNTIF($D$2:$D1027,D259)&gt;1,"duplicated","original")</f>
        <v>duplicated</v>
      </c>
      <c r="L259" s="2">
        <f>COUNTIF($D$2:$D259,D259)</f>
        <v>15</v>
      </c>
      <c r="M259" t="str">
        <f xml:space="preserve"> IF(COUNTIF($I$2:$I1013,I259)&gt;1,"duplicated","original")</f>
        <v>duplicated</v>
      </c>
      <c r="N259" s="2">
        <f>COUNTIF($I$2:$I259,I259)</f>
        <v>12</v>
      </c>
      <c r="O259" s="8">
        <f t="shared" si="16"/>
        <v>1.0077721376404618</v>
      </c>
      <c r="P259" s="8">
        <f t="shared" si="17"/>
        <v>2.8679204121186967</v>
      </c>
      <c r="Q259">
        <v>66</v>
      </c>
      <c r="R259" s="9">
        <f t="shared" si="15"/>
        <v>-0.15462208979620712</v>
      </c>
      <c r="S259">
        <v>25</v>
      </c>
      <c r="T259" s="9">
        <f t="shared" ref="T259:T322" si="18">STANDARDIZE($I259,$U$8,$U$26)</f>
        <v>-2.2568557548175985</v>
      </c>
    </row>
    <row r="260" spans="1:20" x14ac:dyDescent="0.25">
      <c r="A260">
        <v>259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>
        <v>0</v>
      </c>
      <c r="K260" t="str">
        <f xml:space="preserve"> IF(COUNTIF($D$2:$D1028,D260)&gt;1,"duplicated","original")</f>
        <v>duplicated</v>
      </c>
      <c r="L260" s="2">
        <f>COUNTIF($D$2:$D260,D260)</f>
        <v>6</v>
      </c>
      <c r="M260" t="str">
        <f xml:space="preserve"> IF(COUNTIF($I$2:$I1028,I260)&gt;1,"duplicated","original")</f>
        <v>duplicated</v>
      </c>
      <c r="N260" s="2">
        <f>COUNTIF($I$2:$I260,I260)</f>
        <v>16</v>
      </c>
      <c r="O260" s="8">
        <f t="shared" si="16"/>
        <v>4.3606885558824793</v>
      </c>
      <c r="P260" s="8">
        <f t="shared" si="17"/>
        <v>3.0372631578852487</v>
      </c>
      <c r="Q260">
        <v>66</v>
      </c>
      <c r="R260" s="9">
        <f t="shared" si="15"/>
        <v>-0.15462208979620712</v>
      </c>
      <c r="S260">
        <v>25</v>
      </c>
      <c r="T260" s="9">
        <f t="shared" si="18"/>
        <v>-2.3081297466473885</v>
      </c>
    </row>
    <row r="261" spans="1:20" x14ac:dyDescent="0.25">
      <c r="A261">
        <v>260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>
        <v>1</v>
      </c>
      <c r="K261" t="str">
        <f xml:space="preserve"> IF(COUNTIF($D$2:$D1015,$D$3)&gt;1,"duplicated","original")</f>
        <v>duplicated</v>
      </c>
      <c r="L261" s="2">
        <f>COUNTIF($D$2:$D261,D261)</f>
        <v>14</v>
      </c>
      <c r="M261" t="str">
        <f xml:space="preserve"> IF(COUNTIF($I$2:$I1029,I261)&gt;1,"duplicated","original")</f>
        <v>duplicated</v>
      </c>
      <c r="N261" s="2">
        <f>COUNTIF($I$2:$I261,I261)</f>
        <v>4</v>
      </c>
      <c r="O261" s="8">
        <f t="shared" si="16"/>
        <v>2.642800658126824</v>
      </c>
      <c r="P261" s="8">
        <f t="shared" si="17"/>
        <v>4.2160446522484705</v>
      </c>
      <c r="Q261">
        <v>66</v>
      </c>
      <c r="R261" s="9">
        <f t="shared" ref="R261:R324" si="19">STANDARDIZE($Q261,$U$8,$U$26)</f>
        <v>-0.15462208979620712</v>
      </c>
      <c r="S261">
        <v>25</v>
      </c>
      <c r="T261" s="9">
        <f t="shared" si="18"/>
        <v>-0.92373196724305762</v>
      </c>
    </row>
    <row r="262" spans="1:20" x14ac:dyDescent="0.25">
      <c r="A262">
        <v>261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>
        <v>0</v>
      </c>
      <c r="K262" t="str">
        <f xml:space="preserve"> IF(COUNTIF($D$2:$D1030,D262)&gt;1,"duplicated","original")</f>
        <v>duplicated</v>
      </c>
      <c r="L262" s="2">
        <f>COUNTIF($D$2:$D262,D262)</f>
        <v>16</v>
      </c>
      <c r="M262" t="str">
        <f xml:space="preserve"> IF(COUNTIF($I$2:$I1030,I262)&gt;1,"duplicated","original")</f>
        <v>duplicated</v>
      </c>
      <c r="N262" s="2">
        <f>COUNTIF($I$2:$I262,I262)</f>
        <v>6</v>
      </c>
      <c r="O262" s="8">
        <f t="shared" si="16"/>
        <v>1.0077721376404618</v>
      </c>
      <c r="P262" s="8">
        <f t="shared" si="17"/>
        <v>0.88035930718822164</v>
      </c>
      <c r="Q262">
        <v>66</v>
      </c>
      <c r="R262" s="9">
        <f t="shared" si="19"/>
        <v>-0.15462208979620712</v>
      </c>
      <c r="S262">
        <v>25</v>
      </c>
      <c r="T262" s="9">
        <f t="shared" si="18"/>
        <v>-1.795389828349488</v>
      </c>
    </row>
    <row r="263" spans="1:20" x14ac:dyDescent="0.25">
      <c r="A263">
        <v>262</v>
      </c>
      <c r="B263">
        <v>3</v>
      </c>
      <c r="C263">
        <v>141</v>
      </c>
      <c r="D263">
        <v>0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>
        <v>1</v>
      </c>
      <c r="K263" t="str">
        <f xml:space="preserve"> IF(COUNTIF($D$2:$D1031,D263)&gt;1,"duplicated","original")</f>
        <v>duplicated</v>
      </c>
      <c r="L263" s="2">
        <f>COUNTIF($D$2:$D263,D263)</f>
        <v>10</v>
      </c>
      <c r="M263" t="str">
        <f xml:space="preserve"> IF(COUNTIF($I$2:$I1017,I263)&gt;1,"duplicated","original")</f>
        <v>duplicated</v>
      </c>
      <c r="N263" s="2">
        <f>COUNTIF($I$2:$I263,I263)</f>
        <v>14</v>
      </c>
      <c r="O263" s="8">
        <f t="shared" si="16"/>
        <v>8.3075631012592623</v>
      </c>
      <c r="P263" s="8">
        <f t="shared" si="17"/>
        <v>2.4949884749727951</v>
      </c>
      <c r="Q263">
        <v>66</v>
      </c>
      <c r="R263" s="9">
        <f t="shared" si="19"/>
        <v>-0.15462208979620712</v>
      </c>
      <c r="S263">
        <v>25</v>
      </c>
      <c r="T263" s="9">
        <f t="shared" si="18"/>
        <v>-2.1543077711580185</v>
      </c>
    </row>
    <row r="264" spans="1:20" x14ac:dyDescent="0.25">
      <c r="A264">
        <v>263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>
        <v>0</v>
      </c>
      <c r="K264" t="str">
        <f xml:space="preserve"> IF(COUNTIF($D$2:$D1018,$D$3)&gt;1,"duplicated","original")</f>
        <v>duplicated</v>
      </c>
      <c r="L264" s="2">
        <f>COUNTIF($D$2:$D264,D264)</f>
        <v>17</v>
      </c>
      <c r="M264" t="str">
        <f xml:space="preserve"> IF(COUNTIF($I$2:$I1032,I264)&gt;1,"duplicated","original")</f>
        <v>duplicated</v>
      </c>
      <c r="N264" s="2">
        <f>COUNTIF($I$2:$I264,I264)</f>
        <v>17</v>
      </c>
      <c r="O264" s="8">
        <f t="shared" si="16"/>
        <v>0.99216698120607405</v>
      </c>
      <c r="P264" s="8">
        <f t="shared" si="17"/>
        <v>3.0372631578852487</v>
      </c>
      <c r="Q264">
        <v>66</v>
      </c>
      <c r="R264" s="9">
        <f t="shared" si="19"/>
        <v>-0.15462208979620712</v>
      </c>
      <c r="S264">
        <v>25</v>
      </c>
      <c r="T264" s="9">
        <f t="shared" si="18"/>
        <v>-2.3081297466473885</v>
      </c>
    </row>
    <row r="265" spans="1:20" x14ac:dyDescent="0.25">
      <c r="A265">
        <v>264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>
        <v>0</v>
      </c>
      <c r="K265" t="str">
        <f xml:space="preserve"> IF(COUNTIF($D$2:$D1033,D265)&gt;1,"duplicated","original")</f>
        <v>duplicated</v>
      </c>
      <c r="L265" s="2">
        <f>COUNTIF($D$2:$D265,D265)</f>
        <v>16</v>
      </c>
      <c r="M265" t="str">
        <f xml:space="preserve"> IF(COUNTIF($I$2:$I1033,I265)&gt;1,"duplicated","original")</f>
        <v>duplicated</v>
      </c>
      <c r="N265" s="2">
        <f>COUNTIF($I$2:$I265,I265)</f>
        <v>1</v>
      </c>
      <c r="O265" s="8">
        <f t="shared" si="16"/>
        <v>3.3142714612106796</v>
      </c>
      <c r="P265" s="8">
        <f t="shared" si="17"/>
        <v>5.4566503012152907</v>
      </c>
      <c r="Q265">
        <v>66</v>
      </c>
      <c r="R265" s="9">
        <f t="shared" si="19"/>
        <v>-0.15462208979620712</v>
      </c>
      <c r="S265">
        <v>25</v>
      </c>
      <c r="T265" s="9">
        <f t="shared" si="18"/>
        <v>-0.30844406528557722</v>
      </c>
    </row>
    <row r="266" spans="1:20" x14ac:dyDescent="0.25">
      <c r="A266">
        <v>265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>
        <v>1</v>
      </c>
      <c r="K266" t="str">
        <f xml:space="preserve"> IF(COUNTIF($D$2:$D1034,D266)&gt;1,"duplicated","original")</f>
        <v>duplicated</v>
      </c>
      <c r="L266" s="2">
        <f>COUNTIF($D$2:$D266,D266)</f>
        <v>10</v>
      </c>
      <c r="M266" t="str">
        <f xml:space="preserve"> IF(COUNTIF($I$2:$I1034,I266)&gt;1,"duplicated","original")</f>
        <v>duplicated</v>
      </c>
      <c r="N266" s="2">
        <f>COUNTIF($I$2:$I266,I266)</f>
        <v>2</v>
      </c>
      <c r="O266" s="8">
        <f t="shared" si="16"/>
        <v>2.648698676974115</v>
      </c>
      <c r="P266" s="8">
        <f t="shared" si="17"/>
        <v>1.332303460084423</v>
      </c>
      <c r="Q266">
        <v>66</v>
      </c>
      <c r="R266" s="9">
        <f t="shared" si="19"/>
        <v>-0.15462208979620712</v>
      </c>
      <c r="S266">
        <v>25</v>
      </c>
      <c r="T266" s="9">
        <f t="shared" si="18"/>
        <v>-1.744115836519698</v>
      </c>
    </row>
    <row r="267" spans="1:20" x14ac:dyDescent="0.25">
      <c r="A267">
        <v>266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>
        <v>0</v>
      </c>
      <c r="K267" t="str">
        <f xml:space="preserve"> IF(COUNTIF($D$2:$D1021,$D$3)&gt;1,"duplicated","original")</f>
        <v>duplicated</v>
      </c>
      <c r="L267" s="2">
        <f>COUNTIF($D$2:$D267,D267)</f>
        <v>16</v>
      </c>
      <c r="M267" t="str">
        <f xml:space="preserve"> IF(COUNTIF($I$2:$I1021,I267)&gt;1,"duplicated","original")</f>
        <v>duplicated</v>
      </c>
      <c r="N267" s="2">
        <f>COUNTIF($I$2:$I267,I267)</f>
        <v>4</v>
      </c>
      <c r="O267" s="8">
        <f t="shared" si="16"/>
        <v>2.2325759379236296</v>
      </c>
      <c r="P267" s="8">
        <f t="shared" si="17"/>
        <v>3.1265048392338888</v>
      </c>
      <c r="Q267">
        <v>66</v>
      </c>
      <c r="R267" s="9">
        <f t="shared" si="19"/>
        <v>-0.15462208979620712</v>
      </c>
      <c r="S267">
        <v>25</v>
      </c>
      <c r="T267" s="9">
        <f t="shared" si="18"/>
        <v>-1.3339239018813778</v>
      </c>
    </row>
    <row r="268" spans="1:20" x14ac:dyDescent="0.25">
      <c r="A268">
        <v>267</v>
      </c>
      <c r="B268">
        <v>0</v>
      </c>
      <c r="C268">
        <v>138</v>
      </c>
      <c r="D268">
        <v>0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>
        <v>1</v>
      </c>
      <c r="K268" t="str">
        <f xml:space="preserve"> IF(COUNTIF($D$2:$D1036,D268)&gt;1,"duplicated","original")</f>
        <v>duplicated</v>
      </c>
      <c r="L268" s="2">
        <f>COUNTIF($D$2:$D268,D268)</f>
        <v>11</v>
      </c>
      <c r="M268" t="str">
        <f xml:space="preserve"> IF(COUNTIF($I$2:$I1036,I268)&gt;1,"duplicated","original")</f>
        <v>duplicated</v>
      </c>
      <c r="N268" s="2">
        <f>COUNTIF($I$2:$I268,I268)</f>
        <v>13</v>
      </c>
      <c r="O268" s="8">
        <f t="shared" si="16"/>
        <v>8.3075631012592623</v>
      </c>
      <c r="P268" s="8">
        <f t="shared" si="17"/>
        <v>2.8679204121186967</v>
      </c>
      <c r="Q268">
        <v>66</v>
      </c>
      <c r="R268" s="9">
        <f t="shared" si="19"/>
        <v>-0.15462208979620712</v>
      </c>
      <c r="S268">
        <v>25</v>
      </c>
      <c r="T268" s="9">
        <f t="shared" si="18"/>
        <v>-2.2568557548175985</v>
      </c>
    </row>
    <row r="269" spans="1:20" x14ac:dyDescent="0.25">
      <c r="A269">
        <v>268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>
        <v>0</v>
      </c>
      <c r="K269" t="str">
        <f xml:space="preserve"> IF(COUNTIF($D$2:$D1037,D269)&gt;1,"duplicated","original")</f>
        <v>duplicated</v>
      </c>
      <c r="L269" s="2">
        <f>COUNTIF($D$2:$D269,D269)</f>
        <v>16</v>
      </c>
      <c r="M269" t="str">
        <f xml:space="preserve"> IF(COUNTIF($I$2:$I1037,I269)&gt;1,"duplicated","original")</f>
        <v>duplicated</v>
      </c>
      <c r="N269" s="2">
        <f>COUNTIF($I$2:$I269,I269)</f>
        <v>18</v>
      </c>
      <c r="O269" s="8">
        <f t="shared" si="16"/>
        <v>2.2395545720978594</v>
      </c>
      <c r="P269" s="8">
        <f t="shared" si="17"/>
        <v>3.0372631578852487</v>
      </c>
      <c r="Q269">
        <v>66</v>
      </c>
      <c r="R269" s="9">
        <f t="shared" si="19"/>
        <v>-0.15462208979620712</v>
      </c>
      <c r="S269">
        <v>25</v>
      </c>
      <c r="T269" s="9">
        <f t="shared" si="18"/>
        <v>-2.3081297466473885</v>
      </c>
    </row>
    <row r="270" spans="1:20" x14ac:dyDescent="0.25">
      <c r="A270">
        <v>269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>
        <v>0</v>
      </c>
      <c r="K270" t="str">
        <f xml:space="preserve"> IF(COUNTIF($D$2:$D1024,$D$3)&gt;1,"duplicated","original")</f>
        <v>duplicated</v>
      </c>
      <c r="L270" s="2">
        <f>COUNTIF($D$2:$D270,D270)</f>
        <v>5</v>
      </c>
      <c r="M270" t="str">
        <f xml:space="preserve"> IF(COUNTIF($I$2:$I1038,I270)&gt;1,"duplicated","original")</f>
        <v>duplicated</v>
      </c>
      <c r="N270" s="2">
        <f>COUNTIF($I$2:$I270,I270)</f>
        <v>21</v>
      </c>
      <c r="O270" s="8">
        <f t="shared" si="16"/>
        <v>4.1249975371391949</v>
      </c>
      <c r="P270" s="8">
        <f t="shared" si="17"/>
        <v>3.4964220984096119</v>
      </c>
      <c r="Q270">
        <v>66</v>
      </c>
      <c r="R270" s="9">
        <f t="shared" si="19"/>
        <v>-0.15462208979620712</v>
      </c>
      <c r="S270">
        <v>26</v>
      </c>
      <c r="T270" s="9">
        <f t="shared" si="18"/>
        <v>-2.4619517221367584</v>
      </c>
    </row>
    <row r="271" spans="1:20" x14ac:dyDescent="0.25">
      <c r="A271">
        <v>270</v>
      </c>
      <c r="B271">
        <v>2</v>
      </c>
      <c r="C271">
        <v>146</v>
      </c>
      <c r="D271">
        <v>0</v>
      </c>
      <c r="E271">
        <v>0</v>
      </c>
      <c r="F271">
        <v>0</v>
      </c>
      <c r="G271">
        <v>27.5</v>
      </c>
      <c r="H271">
        <v>0.24</v>
      </c>
      <c r="I271">
        <v>28</v>
      </c>
      <c r="J271">
        <v>1</v>
      </c>
      <c r="K271" t="str">
        <f xml:space="preserve"> IF(COUNTIF($D$2:$D1039,D271)&gt;1,"duplicated","original")</f>
        <v>duplicated</v>
      </c>
      <c r="L271" s="2">
        <f>COUNTIF($D$2:$D271,D271)</f>
        <v>12</v>
      </c>
      <c r="M271" t="str">
        <f xml:space="preserve"> IF(COUNTIF($I$2:$I1025,I271)&gt;1,"duplicated","original")</f>
        <v>duplicated</v>
      </c>
      <c r="N271" s="2">
        <f>COUNTIF($I$2:$I271,I271)</f>
        <v>6</v>
      </c>
      <c r="O271" s="8">
        <f t="shared" si="16"/>
        <v>8.3075631012592623</v>
      </c>
      <c r="P271" s="8">
        <f t="shared" si="17"/>
        <v>2.2858187789601945</v>
      </c>
      <c r="Q271">
        <v>66</v>
      </c>
      <c r="R271" s="9">
        <f t="shared" si="19"/>
        <v>-0.15462208979620712</v>
      </c>
      <c r="S271">
        <v>26</v>
      </c>
      <c r="T271" s="9">
        <f t="shared" si="18"/>
        <v>-2.1030337793282281</v>
      </c>
    </row>
    <row r="272" spans="1:20" x14ac:dyDescent="0.25">
      <c r="A272">
        <v>271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>
        <v>1</v>
      </c>
      <c r="K272" t="str">
        <f xml:space="preserve"> IF(COUNTIF($D$2:$D1040,D272)&gt;1,"duplicated","original")</f>
        <v>duplicated</v>
      </c>
      <c r="L272" s="2">
        <f>COUNTIF($D$2:$D272,D272)</f>
        <v>5</v>
      </c>
      <c r="M272" t="str">
        <f xml:space="preserve"> IF(COUNTIF($I$2:$I1040,I272)&gt;1,"duplicated","original")</f>
        <v>duplicated</v>
      </c>
      <c r="N272" s="2">
        <f>COUNTIF($I$2:$I272,I272)</f>
        <v>6</v>
      </c>
      <c r="O272" s="8">
        <f t="shared" si="16"/>
        <v>4.121212845582666</v>
      </c>
      <c r="P272" s="8">
        <f t="shared" si="17"/>
        <v>2.1851847770275459</v>
      </c>
      <c r="Q272">
        <v>66</v>
      </c>
      <c r="R272" s="9">
        <f t="shared" si="19"/>
        <v>-0.15462208979620712</v>
      </c>
      <c r="S272">
        <v>26</v>
      </c>
      <c r="T272" s="9">
        <f t="shared" si="18"/>
        <v>-1.5902938610303279</v>
      </c>
    </row>
    <row r="273" spans="1:20" x14ac:dyDescent="0.25">
      <c r="A273">
        <v>272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>
        <v>0</v>
      </c>
      <c r="K273" t="str">
        <f xml:space="preserve"> IF(COUNTIF($D$2:$D1027,$D$3)&gt;1,"duplicated","original")</f>
        <v>duplicated</v>
      </c>
      <c r="L273" s="2">
        <f>COUNTIF($D$2:$D273,D273)</f>
        <v>11</v>
      </c>
      <c r="M273" t="str">
        <f xml:space="preserve"> IF(COUNTIF($I$2:$I1041,I273)&gt;1,"duplicated","original")</f>
        <v>duplicated</v>
      </c>
      <c r="N273" s="2">
        <f>COUNTIF($I$2:$I273,I273)</f>
        <v>22</v>
      </c>
      <c r="O273" s="8">
        <f t="shared" si="16"/>
        <v>2.648698676974115</v>
      </c>
      <c r="P273" s="8">
        <f t="shared" si="17"/>
        <v>3.4964220984096119</v>
      </c>
      <c r="Q273">
        <v>66</v>
      </c>
      <c r="R273" s="9">
        <f t="shared" si="19"/>
        <v>-0.15462208979620712</v>
      </c>
      <c r="S273">
        <v>26</v>
      </c>
      <c r="T273" s="9">
        <f t="shared" si="18"/>
        <v>-2.4619517221367584</v>
      </c>
    </row>
    <row r="274" spans="1:20" x14ac:dyDescent="0.25">
      <c r="A274">
        <v>273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>
        <v>0</v>
      </c>
      <c r="K274" t="str">
        <f xml:space="preserve"> IF(COUNTIF($D$2:$D1042,D274)&gt;1,"duplicated","original")</f>
        <v>duplicated</v>
      </c>
      <c r="L274" s="2">
        <f>COUNTIF($D$2:$D274,D274)</f>
        <v>11</v>
      </c>
      <c r="M274" t="str">
        <f xml:space="preserve"> IF(COUNTIF($I$2:$I1042,I274)&gt;1,"duplicated","original")</f>
        <v>duplicated</v>
      </c>
      <c r="N274" s="2">
        <f>COUNTIF($I$2:$I274,I274)</f>
        <v>7</v>
      </c>
      <c r="O274" s="8">
        <f t="shared" si="16"/>
        <v>2.9973980914445737</v>
      </c>
      <c r="P274" s="8">
        <f t="shared" si="17"/>
        <v>2.6028892619074147</v>
      </c>
      <c r="Q274">
        <v>66</v>
      </c>
      <c r="R274" s="9">
        <f t="shared" si="19"/>
        <v>-0.15462208979620712</v>
      </c>
      <c r="S274">
        <v>26</v>
      </c>
      <c r="T274" s="9">
        <f t="shared" si="18"/>
        <v>-1.4877458773707479</v>
      </c>
    </row>
    <row r="275" spans="1:20" x14ac:dyDescent="0.25">
      <c r="A275">
        <v>274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>
        <v>0</v>
      </c>
      <c r="K275" t="str">
        <f xml:space="preserve"> IF(COUNTIF($D$2:$D1043,D275)&gt;1,"duplicated","original")</f>
        <v>duplicated</v>
      </c>
      <c r="L275" s="2">
        <f>COUNTIF($D$2:$D275,D275)</f>
        <v>12</v>
      </c>
      <c r="M275" t="str">
        <f xml:space="preserve"> IF(COUNTIF($I$2:$I1029,I275)&gt;1,"duplicated","original")</f>
        <v>duplicated</v>
      </c>
      <c r="N275" s="2">
        <f>COUNTIF($I$2:$I275,I275)</f>
        <v>23</v>
      </c>
      <c r="O275" s="8">
        <f t="shared" si="16"/>
        <v>2.9973980914445737</v>
      </c>
      <c r="P275" s="8">
        <f t="shared" si="17"/>
        <v>3.4964220984096119</v>
      </c>
      <c r="Q275">
        <v>66</v>
      </c>
      <c r="R275" s="9">
        <f t="shared" si="19"/>
        <v>-0.15462208979620712</v>
      </c>
      <c r="S275">
        <v>26</v>
      </c>
      <c r="T275" s="9">
        <f t="shared" si="18"/>
        <v>-2.4619517221367584</v>
      </c>
    </row>
    <row r="276" spans="1:20" x14ac:dyDescent="0.25">
      <c r="A276">
        <v>275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>
        <v>0</v>
      </c>
      <c r="K276" t="str">
        <f xml:space="preserve"> IF(COUNTIF($D$2:$D1030,$D$3)&gt;1,"duplicated","original")</f>
        <v>duplicated</v>
      </c>
      <c r="L276" s="2">
        <f>COUNTIF($D$2:$D276,D276)</f>
        <v>18</v>
      </c>
      <c r="M276" t="str">
        <f xml:space="preserve"> IF(COUNTIF($I$2:$I1044,I276)&gt;1,"duplicated","original")</f>
        <v>duplicated</v>
      </c>
      <c r="N276" s="2">
        <f>COUNTIF($I$2:$I276,I276)</f>
        <v>2</v>
      </c>
      <c r="O276" s="8">
        <f t="shared" si="16"/>
        <v>0.99216698120607405</v>
      </c>
      <c r="P276" s="8">
        <f t="shared" si="17"/>
        <v>4.3330165600598534</v>
      </c>
      <c r="Q276">
        <v>68</v>
      </c>
      <c r="R276" s="9">
        <f t="shared" si="19"/>
        <v>-5.2074106136627045E-2</v>
      </c>
      <c r="S276">
        <v>26</v>
      </c>
      <c r="T276" s="9">
        <f t="shared" si="18"/>
        <v>-0.87245797541326753</v>
      </c>
    </row>
    <row r="277" spans="1:20" x14ac:dyDescent="0.25">
      <c r="A277">
        <v>276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>
        <v>0</v>
      </c>
      <c r="K277" t="str">
        <f xml:space="preserve"> IF(COUNTIF($D$2:$D1045,D277)&gt;1,"duplicated","original")</f>
        <v>duplicated</v>
      </c>
      <c r="L277" s="2">
        <f>COUNTIF($D$2:$D277,D277)</f>
        <v>19</v>
      </c>
      <c r="M277" t="str">
        <f xml:space="preserve"> IF(COUNTIF($I$2:$I1045,I277)&gt;1,"duplicated","original")</f>
        <v>duplicated</v>
      </c>
      <c r="N277" s="2">
        <f>COUNTIF($I$2:$I277,I277)</f>
        <v>14</v>
      </c>
      <c r="O277" s="8">
        <f t="shared" si="16"/>
        <v>0.99216698120607405</v>
      </c>
      <c r="P277" s="8">
        <f t="shared" si="17"/>
        <v>2.8679204121186967</v>
      </c>
      <c r="Q277">
        <v>68</v>
      </c>
      <c r="R277" s="9">
        <f t="shared" si="19"/>
        <v>-5.2074106136627045E-2</v>
      </c>
      <c r="S277">
        <v>26</v>
      </c>
      <c r="T277" s="9">
        <f t="shared" si="18"/>
        <v>-2.2568557548175985</v>
      </c>
    </row>
    <row r="278" spans="1:20" x14ac:dyDescent="0.25">
      <c r="A278">
        <v>277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>
        <v>1</v>
      </c>
      <c r="K278" t="str">
        <f xml:space="preserve"> IF(COUNTIF($D$2:$D1046,D278)&gt;1,"duplicated","original")</f>
        <v>duplicated</v>
      </c>
      <c r="L278" s="2">
        <f>COUNTIF($D$2:$D278,D278)</f>
        <v>13</v>
      </c>
      <c r="M278" t="str">
        <f xml:space="preserve"> IF(COUNTIF($I$2:$I1046,I278)&gt;1,"duplicated","original")</f>
        <v>duplicated</v>
      </c>
      <c r="N278" s="2">
        <f>COUNTIF($I$2:$I278,I278)</f>
        <v>12</v>
      </c>
      <c r="O278" s="8">
        <f t="shared" si="16"/>
        <v>3.002599653867366</v>
      </c>
      <c r="P278" s="8">
        <f t="shared" si="17"/>
        <v>2.0554725710276638</v>
      </c>
      <c r="Q278">
        <v>68</v>
      </c>
      <c r="R278" s="9">
        <f t="shared" si="19"/>
        <v>-5.2074106136627045E-2</v>
      </c>
      <c r="S278">
        <v>26</v>
      </c>
      <c r="T278" s="9">
        <f t="shared" si="18"/>
        <v>-2.0517597874984381</v>
      </c>
    </row>
    <row r="279" spans="1:20" x14ac:dyDescent="0.25">
      <c r="A279">
        <v>278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>
        <v>0</v>
      </c>
      <c r="K279" t="str">
        <f xml:space="preserve"> IF(COUNTIF($D$2:$D1033,$D$3)&gt;1,"duplicated","original")</f>
        <v>duplicated</v>
      </c>
      <c r="L279" s="2">
        <f>COUNTIF($D$2:$D279,D279)</f>
        <v>17</v>
      </c>
      <c r="M279" t="str">
        <f xml:space="preserve"> IF(COUNTIF($I$2:$I1033,I279)&gt;1,"duplicated","original")</f>
        <v>duplicated</v>
      </c>
      <c r="N279" s="2">
        <f>COUNTIF($I$2:$I279,I279)</f>
        <v>17</v>
      </c>
      <c r="O279" s="8">
        <f t="shared" si="16"/>
        <v>2.2395545720978594</v>
      </c>
      <c r="P279" s="8">
        <f t="shared" si="17"/>
        <v>3.1976503076864229</v>
      </c>
      <c r="Q279">
        <v>68</v>
      </c>
      <c r="R279" s="9">
        <f t="shared" si="19"/>
        <v>-5.2074106136627045E-2</v>
      </c>
      <c r="S279">
        <v>26</v>
      </c>
      <c r="T279" s="9">
        <f t="shared" si="18"/>
        <v>-2.3594037384771784</v>
      </c>
    </row>
    <row r="280" spans="1:20" x14ac:dyDescent="0.25">
      <c r="A280">
        <v>279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>
        <v>0</v>
      </c>
      <c r="K280" t="str">
        <f xml:space="preserve"> IF(COUNTIF($D$2:$D1048,D280)&gt;1,"duplicated","original")</f>
        <v>duplicated</v>
      </c>
      <c r="L280" s="2">
        <f>COUNTIF($D$2:$D280,D280)</f>
        <v>17</v>
      </c>
      <c r="M280" t="str">
        <f xml:space="preserve"> IF(COUNTIF($I$2:$I1048,I280)&gt;1,"duplicated","original")</f>
        <v>duplicated</v>
      </c>
      <c r="N280" s="2">
        <f>COUNTIF($I$2:$I280,I280)</f>
        <v>4</v>
      </c>
      <c r="O280" s="8">
        <f t="shared" si="16"/>
        <v>2.2325759379236296</v>
      </c>
      <c r="P280" s="8">
        <f t="shared" si="17"/>
        <v>4.8759647773289876</v>
      </c>
      <c r="Q280">
        <v>68</v>
      </c>
      <c r="R280" s="9">
        <f t="shared" si="19"/>
        <v>-5.2074106136627045E-2</v>
      </c>
      <c r="S280">
        <v>26</v>
      </c>
      <c r="T280" s="9">
        <f t="shared" si="18"/>
        <v>-0.61608801626431742</v>
      </c>
    </row>
    <row r="281" spans="1:20" x14ac:dyDescent="0.25">
      <c r="A281">
        <v>280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>
        <v>0</v>
      </c>
      <c r="K281" t="str">
        <f xml:space="preserve"> IF(COUNTIF($D$2:$D1049,D281)&gt;1,"duplicated","original")</f>
        <v>duplicated</v>
      </c>
      <c r="L281" s="2">
        <f>COUNTIF($D$2:$D281,D281)</f>
        <v>12</v>
      </c>
      <c r="M281" t="str">
        <f xml:space="preserve"> IF(COUNTIF($I$2:$I1049,I281)&gt;1,"duplicated","original")</f>
        <v>duplicated</v>
      </c>
      <c r="N281" s="2">
        <f>COUNTIF($I$2:$I281,I281)</f>
        <v>24</v>
      </c>
      <c r="O281" s="8">
        <f t="shared" si="16"/>
        <v>2.648698676974115</v>
      </c>
      <c r="P281" s="8">
        <f t="shared" si="17"/>
        <v>3.3503682618851132</v>
      </c>
      <c r="Q281">
        <v>68</v>
      </c>
      <c r="R281" s="9">
        <f t="shared" si="19"/>
        <v>-5.2074106136627045E-2</v>
      </c>
      <c r="S281">
        <v>26</v>
      </c>
      <c r="T281" s="9">
        <f t="shared" si="18"/>
        <v>-2.4106777303069684</v>
      </c>
    </row>
    <row r="282" spans="1:20" x14ac:dyDescent="0.25">
      <c r="A282">
        <v>281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>
        <v>1</v>
      </c>
      <c r="K282" t="str">
        <f xml:space="preserve"> IF(COUNTIF($D$2:$D1036,$D$3)&gt;1,"duplicated","original")</f>
        <v>duplicated</v>
      </c>
      <c r="L282" s="2">
        <f>COUNTIF($D$2:$D282,D282)</f>
        <v>20</v>
      </c>
      <c r="M282" t="str">
        <f xml:space="preserve"> IF(COUNTIF($I$2:$I1050,I282)&gt;1,"duplicated","original")</f>
        <v>duplicated</v>
      </c>
      <c r="N282" s="2">
        <f>COUNTIF($I$2:$I282,I282)</f>
        <v>7</v>
      </c>
      <c r="O282" s="8">
        <f t="shared" si="16"/>
        <v>0.99216698120607405</v>
      </c>
      <c r="P282" s="8">
        <f t="shared" si="17"/>
        <v>2.2858187789601945</v>
      </c>
      <c r="Q282">
        <v>68</v>
      </c>
      <c r="R282" s="9">
        <f t="shared" si="19"/>
        <v>-5.2074106136627045E-2</v>
      </c>
      <c r="S282">
        <v>26</v>
      </c>
      <c r="T282" s="9">
        <f t="shared" si="18"/>
        <v>-2.1030337793282281</v>
      </c>
    </row>
    <row r="283" spans="1:20" x14ac:dyDescent="0.25">
      <c r="A283">
        <v>282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>
        <v>0</v>
      </c>
      <c r="K283" t="str">
        <f xml:space="preserve"> IF(COUNTIF($D$2:$D1051,D283)&gt;1,"duplicated","original")</f>
        <v>duplicated</v>
      </c>
      <c r="L283" s="2">
        <f>COUNTIF($D$2:$D283,D283)</f>
        <v>15</v>
      </c>
      <c r="M283" t="str">
        <f xml:space="preserve"> IF(COUNTIF($I$2:$I1037,I283)&gt;1,"duplicated","original")</f>
        <v>duplicated</v>
      </c>
      <c r="N283" s="2">
        <f>COUNTIF($I$2:$I283,I283)</f>
        <v>4</v>
      </c>
      <c r="O283" s="8">
        <f t="shared" si="16"/>
        <v>2.642800658126824</v>
      </c>
      <c r="P283" s="8">
        <f t="shared" si="17"/>
        <v>2.4031297321936087</v>
      </c>
      <c r="Q283">
        <v>68</v>
      </c>
      <c r="R283" s="9">
        <f t="shared" si="19"/>
        <v>-5.2074106136627045E-2</v>
      </c>
      <c r="S283">
        <v>26</v>
      </c>
      <c r="T283" s="9">
        <f t="shared" si="18"/>
        <v>-1.5390198692005379</v>
      </c>
    </row>
    <row r="284" spans="1:20" x14ac:dyDescent="0.25">
      <c r="A284">
        <v>283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>
        <v>0</v>
      </c>
      <c r="K284" t="str">
        <f xml:space="preserve"> IF(COUNTIF($D$2:$D1052,D284)&gt;1,"duplicated","original")</f>
        <v>duplicated</v>
      </c>
      <c r="L284" s="2">
        <f>COUNTIF($D$2:$D284,D284)</f>
        <v>7</v>
      </c>
      <c r="M284" t="str">
        <f xml:space="preserve"> IF(COUNTIF($I$2:$I1052,I284)&gt;1,"duplicated","original")</f>
        <v>duplicated</v>
      </c>
      <c r="N284" s="2">
        <f>COUNTIF($I$2:$I284,I284)</f>
        <v>7</v>
      </c>
      <c r="O284" s="8">
        <f t="shared" si="16"/>
        <v>4.3571085961444176</v>
      </c>
      <c r="P284" s="8">
        <f t="shared" si="17"/>
        <v>1.9429442888958308</v>
      </c>
      <c r="Q284">
        <v>68</v>
      </c>
      <c r="R284" s="9">
        <f t="shared" si="19"/>
        <v>-5.2074106136627045E-2</v>
      </c>
      <c r="S284">
        <v>26</v>
      </c>
      <c r="T284" s="9">
        <f t="shared" si="18"/>
        <v>-1.6415678528601181</v>
      </c>
    </row>
    <row r="285" spans="1:20" x14ac:dyDescent="0.25">
      <c r="A285">
        <v>284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>
        <v>1</v>
      </c>
      <c r="K285" t="str">
        <f xml:space="preserve"> IF(COUNTIF($D$2:$D1039,$D$3)&gt;1,"duplicated","original")</f>
        <v>duplicated</v>
      </c>
      <c r="L285" s="2">
        <f>COUNTIF($D$2:$D285,D285)</f>
        <v>6</v>
      </c>
      <c r="M285" t="str">
        <f xml:space="preserve"> IF(COUNTIF($I$2:$I1053,I285)&gt;1,"duplicated","original")</f>
        <v>duplicated</v>
      </c>
      <c r="N285" s="2">
        <f>COUNTIF($I$2:$I285,I285)</f>
        <v>3</v>
      </c>
      <c r="O285" s="8">
        <f t="shared" si="16"/>
        <v>4.121212845582666</v>
      </c>
      <c r="P285" s="8">
        <f t="shared" si="17"/>
        <v>3.7114730916110554</v>
      </c>
      <c r="Q285">
        <v>68</v>
      </c>
      <c r="R285" s="9">
        <f t="shared" si="19"/>
        <v>-5.2074106136627045E-2</v>
      </c>
      <c r="S285">
        <v>26</v>
      </c>
      <c r="T285" s="9">
        <f t="shared" si="18"/>
        <v>-1.1288279345622176</v>
      </c>
    </row>
    <row r="286" spans="1:20" x14ac:dyDescent="0.25">
      <c r="A286">
        <v>285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>
        <v>1</v>
      </c>
      <c r="K286" t="str">
        <f xml:space="preserve"> IF(COUNTIF($D$2:$D1054,D286)&gt;1,"duplicated","original")</f>
        <v>duplicated</v>
      </c>
      <c r="L286" s="2">
        <f>COUNTIF($D$2:$D286,D286)</f>
        <v>17</v>
      </c>
      <c r="M286" t="str">
        <f xml:space="preserve"> IF(COUNTIF($I$2:$I1054,I286)&gt;1,"duplicated","original")</f>
        <v>duplicated</v>
      </c>
      <c r="N286" s="2">
        <f>COUNTIF($I$2:$I286,I286)</f>
        <v>3</v>
      </c>
      <c r="O286" s="8">
        <f t="shared" si="16"/>
        <v>3.3142714612106796</v>
      </c>
      <c r="P286" s="8">
        <f t="shared" si="17"/>
        <v>4.3330165600598534</v>
      </c>
      <c r="Q286">
        <v>68</v>
      </c>
      <c r="R286" s="9">
        <f t="shared" si="19"/>
        <v>-5.2074106136627045E-2</v>
      </c>
      <c r="S286">
        <v>26</v>
      </c>
      <c r="T286" s="9">
        <f t="shared" si="18"/>
        <v>-0.87245797541326753</v>
      </c>
    </row>
    <row r="287" spans="1:20" x14ac:dyDescent="0.25">
      <c r="A287">
        <v>286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>
        <v>0</v>
      </c>
      <c r="K287" t="str">
        <f xml:space="preserve"> IF(COUNTIF($D$2:$D1055,D287)&gt;1,"duplicated","original")</f>
        <v>duplicated</v>
      </c>
      <c r="L287" s="2">
        <f>COUNTIF($D$2:$D287,D287)</f>
        <v>18</v>
      </c>
      <c r="M287" t="str">
        <f xml:space="preserve"> IF(COUNTIF($I$2:$I1041,I287)&gt;1,"duplicated","original")</f>
        <v>duplicated</v>
      </c>
      <c r="N287" s="2">
        <f>COUNTIF($I$2:$I287,I287)</f>
        <v>5</v>
      </c>
      <c r="O287" s="8">
        <f t="shared" si="16"/>
        <v>2.2325759379236296</v>
      </c>
      <c r="P287" s="8">
        <f t="shared" si="17"/>
        <v>4.2160446522484705</v>
      </c>
      <c r="Q287">
        <v>68</v>
      </c>
      <c r="R287" s="9">
        <f t="shared" si="19"/>
        <v>-5.2074106136627045E-2</v>
      </c>
      <c r="S287">
        <v>26</v>
      </c>
      <c r="T287" s="9">
        <f t="shared" si="18"/>
        <v>-0.92373196724305762</v>
      </c>
    </row>
    <row r="288" spans="1:20" x14ac:dyDescent="0.25">
      <c r="A288">
        <v>287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>
        <v>0</v>
      </c>
      <c r="K288" t="str">
        <f xml:space="preserve"> IF(COUNTIF($D$2:$D1042,$D$3)&gt;1,"duplicated","original")</f>
        <v>duplicated</v>
      </c>
      <c r="L288" s="2">
        <f>COUNTIF($D$2:$D288,D288)</f>
        <v>10</v>
      </c>
      <c r="M288" t="str">
        <f xml:space="preserve"> IF(COUNTIF($I$2:$I1056,I288)&gt;1,"duplicated","original")</f>
        <v>duplicated</v>
      </c>
      <c r="N288" s="2">
        <f>COUNTIF($I$2:$I288,I288)</f>
        <v>7</v>
      </c>
      <c r="O288" s="8">
        <f t="shared" si="16"/>
        <v>3.8709682662863014</v>
      </c>
      <c r="P288" s="8">
        <f t="shared" si="17"/>
        <v>0.88035930718822164</v>
      </c>
      <c r="Q288">
        <v>68</v>
      </c>
      <c r="R288" s="9">
        <f t="shared" si="19"/>
        <v>-5.2074106136627045E-2</v>
      </c>
      <c r="S288">
        <v>26</v>
      </c>
      <c r="T288" s="9">
        <f t="shared" si="18"/>
        <v>-1.795389828349488</v>
      </c>
    </row>
    <row r="289" spans="1:20" x14ac:dyDescent="0.25">
      <c r="A289">
        <v>288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>
        <v>1</v>
      </c>
      <c r="K289" t="str">
        <f xml:space="preserve"> IF(COUNTIF($D$2:$D1057,D289)&gt;1,"duplicated","original")</f>
        <v>duplicated</v>
      </c>
      <c r="L289" s="2">
        <f>COUNTIF($D$2:$D289,D289)</f>
        <v>7</v>
      </c>
      <c r="M289" t="str">
        <f xml:space="preserve"> IF(COUNTIF($I$2:$I1057,I289)&gt;1,"duplicated","original")</f>
        <v>duplicated</v>
      </c>
      <c r="N289" s="2">
        <f>COUNTIF($I$2:$I289,I289)</f>
        <v>13</v>
      </c>
      <c r="O289" s="8">
        <f t="shared" si="16"/>
        <v>4.121212845582666</v>
      </c>
      <c r="P289" s="8">
        <f t="shared" si="17"/>
        <v>2.0554725710276638</v>
      </c>
      <c r="Q289">
        <v>68</v>
      </c>
      <c r="R289" s="9">
        <f t="shared" si="19"/>
        <v>-5.2074106136627045E-2</v>
      </c>
      <c r="S289">
        <v>26</v>
      </c>
      <c r="T289" s="9">
        <f t="shared" si="18"/>
        <v>-2.0517597874984381</v>
      </c>
    </row>
    <row r="290" spans="1:20" x14ac:dyDescent="0.25">
      <c r="A290">
        <v>289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>
        <v>0</v>
      </c>
      <c r="K290" t="str">
        <f xml:space="preserve"> IF(COUNTIF($D$2:$D1058,D290)&gt;1,"duplicated","original")</f>
        <v>duplicated</v>
      </c>
      <c r="L290" s="2">
        <f>COUNTIF($D$2:$D290,D290)</f>
        <v>6</v>
      </c>
      <c r="M290" t="str">
        <f xml:space="preserve"> IF(COUNTIF($I$2:$I1058,I290)&gt;1,"duplicated","original")</f>
        <v>duplicated</v>
      </c>
      <c r="N290" s="2">
        <f>COUNTIF($I$2:$I290,I290)</f>
        <v>14</v>
      </c>
      <c r="O290" s="8">
        <f t="shared" si="16"/>
        <v>3.6077146064239098</v>
      </c>
      <c r="P290" s="8">
        <f t="shared" si="17"/>
        <v>2.6879299637912952</v>
      </c>
      <c r="Q290">
        <v>68</v>
      </c>
      <c r="R290" s="9">
        <f t="shared" si="19"/>
        <v>-5.2074106136627045E-2</v>
      </c>
      <c r="S290">
        <v>26</v>
      </c>
      <c r="T290" s="9">
        <f t="shared" si="18"/>
        <v>-2.2055817629878085</v>
      </c>
    </row>
    <row r="291" spans="1:20" x14ac:dyDescent="0.25">
      <c r="A291">
        <v>290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>
        <v>0</v>
      </c>
      <c r="K291" t="str">
        <f xml:space="preserve"> IF(COUNTIF($D$2:$D1045,$D$3)&gt;1,"duplicated","original")</f>
        <v>duplicated</v>
      </c>
      <c r="L291" s="2">
        <f>COUNTIF($D$2:$D291,D291)</f>
        <v>18</v>
      </c>
      <c r="M291" t="str">
        <f xml:space="preserve"> IF(COUNTIF($I$2:$I1045,I291)&gt;1,"duplicated","original")</f>
        <v>duplicated</v>
      </c>
      <c r="N291" s="2">
        <f>COUNTIF($I$2:$I291,I291)</f>
        <v>10</v>
      </c>
      <c r="O291" s="8">
        <f t="shared" si="16"/>
        <v>1.7275402509335562</v>
      </c>
      <c r="P291" s="8">
        <f t="shared" si="17"/>
        <v>0.47430737949885876</v>
      </c>
      <c r="Q291">
        <v>68</v>
      </c>
      <c r="R291" s="9">
        <f t="shared" si="19"/>
        <v>-5.2074106136627045E-2</v>
      </c>
      <c r="S291">
        <v>26</v>
      </c>
      <c r="T291" s="9">
        <f t="shared" si="18"/>
        <v>-1.8466638201792782</v>
      </c>
    </row>
    <row r="292" spans="1:20" x14ac:dyDescent="0.25">
      <c r="A292">
        <v>291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>
        <v>0</v>
      </c>
      <c r="K292" t="str">
        <f xml:space="preserve"> IF(COUNTIF($D$2:$D1060,D292)&gt;1,"duplicated","original")</f>
        <v>duplicated</v>
      </c>
      <c r="L292" s="2">
        <f>COUNTIF($D$2:$D292,D292)</f>
        <v>8</v>
      </c>
      <c r="M292" t="str">
        <f xml:space="preserve"> IF(COUNTIF($I$2:$I1060,I292)&gt;1,"duplicated","original")</f>
        <v>duplicated</v>
      </c>
      <c r="N292" s="2">
        <f>COUNTIF($I$2:$I292,I292)</f>
        <v>24</v>
      </c>
      <c r="O292" s="8">
        <f t="shared" si="16"/>
        <v>4.3571085961444176</v>
      </c>
      <c r="P292" s="8">
        <f t="shared" si="17"/>
        <v>3.4964220984096119</v>
      </c>
      <c r="Q292">
        <v>68</v>
      </c>
      <c r="R292" s="9">
        <f t="shared" si="19"/>
        <v>-5.2074106136627045E-2</v>
      </c>
      <c r="S292">
        <v>26</v>
      </c>
      <c r="T292" s="9">
        <f t="shared" si="18"/>
        <v>-2.4619517221367584</v>
      </c>
    </row>
    <row r="293" spans="1:20" x14ac:dyDescent="0.25">
      <c r="A293">
        <v>292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>
        <v>1</v>
      </c>
      <c r="K293" t="str">
        <f xml:space="preserve"> IF(COUNTIF($D$2:$D1061,D293)&gt;1,"duplicated","original")</f>
        <v>duplicated</v>
      </c>
      <c r="L293" s="2">
        <f>COUNTIF($D$2:$D293,D293)</f>
        <v>13</v>
      </c>
      <c r="M293" t="str">
        <f xml:space="preserve"> IF(COUNTIF($I$2:$I1061,I293)&gt;1,"duplicated","original")</f>
        <v>duplicated</v>
      </c>
      <c r="N293" s="2">
        <f>COUNTIF($I$2:$I293,I293)</f>
        <v>15</v>
      </c>
      <c r="O293" s="8">
        <f t="shared" si="16"/>
        <v>2.648698676974115</v>
      </c>
      <c r="P293" s="8">
        <f t="shared" si="17"/>
        <v>2.8679204121186967</v>
      </c>
      <c r="Q293">
        <v>68</v>
      </c>
      <c r="R293" s="9">
        <f t="shared" si="19"/>
        <v>-5.2074106136627045E-2</v>
      </c>
      <c r="S293">
        <v>26</v>
      </c>
      <c r="T293" s="9">
        <f t="shared" si="18"/>
        <v>-2.2568557548175985</v>
      </c>
    </row>
    <row r="294" spans="1:20" x14ac:dyDescent="0.25">
      <c r="A294">
        <v>293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>
        <v>1</v>
      </c>
      <c r="K294" t="str">
        <f xml:space="preserve"> IF(COUNTIF($D$2:$D1048,$D$3)&gt;1,"duplicated","original")</f>
        <v>duplicated</v>
      </c>
      <c r="L294" s="2">
        <f>COUNTIF($D$2:$D294,D294)</f>
        <v>13</v>
      </c>
      <c r="M294" t="str">
        <f xml:space="preserve"> IF(COUNTIF($I$2:$I1062,I294)&gt;1,"duplicated","original")</f>
        <v>duplicated</v>
      </c>
      <c r="N294" s="2">
        <f>COUNTIF($I$2:$I294,I294)</f>
        <v>10</v>
      </c>
      <c r="O294" s="8">
        <f t="shared" si="16"/>
        <v>2.9973980914445737</v>
      </c>
      <c r="P294" s="8">
        <f t="shared" si="17"/>
        <v>1.4916324916838848</v>
      </c>
      <c r="Q294">
        <v>68</v>
      </c>
      <c r="R294" s="9">
        <f t="shared" si="19"/>
        <v>-5.2074106136627045E-2</v>
      </c>
      <c r="S294">
        <v>26</v>
      </c>
      <c r="T294" s="9">
        <f t="shared" si="18"/>
        <v>-1.9492118038388582</v>
      </c>
    </row>
    <row r="295" spans="1:20" x14ac:dyDescent="0.25">
      <c r="A295">
        <v>294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>
        <v>1</v>
      </c>
      <c r="K295" t="str">
        <f xml:space="preserve"> IF(COUNTIF($D$2:$D1063,D295)&gt;1,"duplicated","original")</f>
        <v>duplicated</v>
      </c>
      <c r="L295" s="2">
        <f>COUNTIF($D$2:$D295,D295)</f>
        <v>4</v>
      </c>
      <c r="M295" t="str">
        <f xml:space="preserve"> IF(COUNTIF($I$2:$I1049,I295)&gt;1,"duplicated","original")</f>
        <v>duplicated</v>
      </c>
      <c r="N295" s="2">
        <f>COUNTIF($I$2:$I295,I295)</f>
        <v>19</v>
      </c>
      <c r="O295" s="8">
        <f t="shared" si="16"/>
        <v>4.5842779891062921</v>
      </c>
      <c r="P295" s="8">
        <f t="shared" si="17"/>
        <v>3.0372631578852487</v>
      </c>
      <c r="Q295">
        <v>68</v>
      </c>
      <c r="R295" s="9">
        <f t="shared" si="19"/>
        <v>-5.2074106136627045E-2</v>
      </c>
      <c r="S295">
        <v>26</v>
      </c>
      <c r="T295" s="9">
        <f t="shared" si="18"/>
        <v>-2.3081297466473885</v>
      </c>
    </row>
    <row r="296" spans="1:20" x14ac:dyDescent="0.25">
      <c r="A296">
        <v>295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>
        <v>0</v>
      </c>
      <c r="K296" t="str">
        <f xml:space="preserve"> IF(COUNTIF($D$2:$D1064,D296)&gt;1,"duplicated","original")</f>
        <v>duplicated</v>
      </c>
      <c r="L296" s="2">
        <f>COUNTIF($D$2:$D296,D296)</f>
        <v>7</v>
      </c>
      <c r="M296" t="str">
        <f xml:space="preserve"> IF(COUNTIF($I$2:$I1064,I296)&gt;1,"duplicated","original")</f>
        <v>duplicated</v>
      </c>
      <c r="N296" s="2">
        <f>COUNTIF($I$2:$I296,I296)</f>
        <v>2</v>
      </c>
      <c r="O296" s="8">
        <f t="shared" si="16"/>
        <v>4.3606885558824793</v>
      </c>
      <c r="P296" s="8">
        <f t="shared" si="17"/>
        <v>5.6369346731847907</v>
      </c>
      <c r="Q296">
        <v>68</v>
      </c>
      <c r="R296" s="9">
        <f t="shared" si="19"/>
        <v>-5.2074106136627045E-2</v>
      </c>
      <c r="S296">
        <v>26</v>
      </c>
      <c r="T296" s="9">
        <f t="shared" si="18"/>
        <v>-0.20589608162599715</v>
      </c>
    </row>
    <row r="297" spans="1:20" x14ac:dyDescent="0.25">
      <c r="A297">
        <v>296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>
        <v>0</v>
      </c>
      <c r="K297" t="str">
        <f xml:space="preserve"> IF(COUNTIF($D$2:$D1051,$D$3)&gt;1,"duplicated","original")</f>
        <v>duplicated</v>
      </c>
      <c r="L297" s="2">
        <f>COUNTIF($D$2:$D297,D297)</f>
        <v>14</v>
      </c>
      <c r="M297" t="str">
        <f xml:space="preserve"> IF(COUNTIF($I$2:$I1065,I297)&gt;1,"duplicated","original")</f>
        <v>duplicated</v>
      </c>
      <c r="N297" s="2">
        <f>COUNTIF($I$2:$I297,I297)</f>
        <v>8</v>
      </c>
      <c r="O297" s="8">
        <f t="shared" si="16"/>
        <v>2.648698676974115</v>
      </c>
      <c r="P297" s="8">
        <f t="shared" si="17"/>
        <v>2.2858187789601945</v>
      </c>
      <c r="Q297">
        <v>68</v>
      </c>
      <c r="R297" s="9">
        <f t="shared" si="19"/>
        <v>-5.2074106136627045E-2</v>
      </c>
      <c r="S297">
        <v>26</v>
      </c>
      <c r="T297" s="9">
        <f t="shared" si="18"/>
        <v>-2.1030337793282281</v>
      </c>
    </row>
    <row r="298" spans="1:20" x14ac:dyDescent="0.25">
      <c r="A298">
        <v>297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>
        <v>1</v>
      </c>
      <c r="K298" t="str">
        <f xml:space="preserve"> IF(COUNTIF($D$2:$D1066,D298)&gt;1,"duplicated","original")</f>
        <v>duplicated</v>
      </c>
      <c r="L298" s="2">
        <f>COUNTIF($D$2:$D298,D298)</f>
        <v>21</v>
      </c>
      <c r="M298" t="str">
        <f xml:space="preserve"> IF(COUNTIF($I$2:$I1066,I298)&gt;1,"duplicated","original")</f>
        <v>duplicated</v>
      </c>
      <c r="N298" s="2">
        <f>COUNTIF($I$2:$I298,I298)</f>
        <v>14</v>
      </c>
      <c r="O298" s="8">
        <f t="shared" si="16"/>
        <v>0.99216698120607405</v>
      </c>
      <c r="P298" s="8">
        <f t="shared" si="17"/>
        <v>2.0554725710276638</v>
      </c>
      <c r="Q298">
        <v>68</v>
      </c>
      <c r="R298" s="9">
        <f t="shared" si="19"/>
        <v>-5.2074106136627045E-2</v>
      </c>
      <c r="S298">
        <v>26</v>
      </c>
      <c r="T298" s="9">
        <f t="shared" si="18"/>
        <v>-2.0517597874984381</v>
      </c>
    </row>
    <row r="299" spans="1:20" x14ac:dyDescent="0.25">
      <c r="A299">
        <v>298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>
        <v>0</v>
      </c>
      <c r="K299" t="str">
        <f xml:space="preserve"> IF(COUNTIF($D$2:$D1067,D299)&gt;1,"duplicated","original")</f>
        <v>duplicated</v>
      </c>
      <c r="L299" s="2">
        <f>COUNTIF($D$2:$D299,D299)</f>
        <v>11</v>
      </c>
      <c r="M299" t="str">
        <f xml:space="preserve"> IF(COUNTIF($I$2:$I1053,I299)&gt;1,"duplicated","original")</f>
        <v>duplicated</v>
      </c>
      <c r="N299" s="2">
        <f>COUNTIF($I$2:$I299,I299)</f>
        <v>20</v>
      </c>
      <c r="O299" s="8">
        <f t="shared" si="16"/>
        <v>3.8709682662863014</v>
      </c>
      <c r="P299" s="8">
        <f t="shared" si="17"/>
        <v>3.0372631578852487</v>
      </c>
      <c r="Q299">
        <v>68</v>
      </c>
      <c r="R299" s="9">
        <f t="shared" si="19"/>
        <v>-5.2074106136627045E-2</v>
      </c>
      <c r="S299">
        <v>26</v>
      </c>
      <c r="T299" s="9">
        <f t="shared" si="18"/>
        <v>-2.3081297466473885</v>
      </c>
    </row>
    <row r="300" spans="1:20" x14ac:dyDescent="0.25">
      <c r="A300">
        <v>299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>
        <v>1</v>
      </c>
      <c r="K300" t="str">
        <f xml:space="preserve"> IF(COUNTIF($D$2:$D1054,$D$3)&gt;1,"duplicated","original")</f>
        <v>duplicated</v>
      </c>
      <c r="L300" s="2">
        <f>COUNTIF($D$2:$D300,D300)</f>
        <v>14</v>
      </c>
      <c r="M300" t="str">
        <f xml:space="preserve"> IF(COUNTIF($I$2:$I1068,I300)&gt;1,"duplicated","original")</f>
        <v>duplicated</v>
      </c>
      <c r="N300" s="2">
        <f>COUNTIF($I$2:$I300,I300)</f>
        <v>4</v>
      </c>
      <c r="O300" s="8">
        <f t="shared" si="16"/>
        <v>2.9973980914445737</v>
      </c>
      <c r="P300" s="8">
        <f t="shared" si="17"/>
        <v>3.5742177479489028</v>
      </c>
      <c r="Q300">
        <v>68</v>
      </c>
      <c r="R300" s="9">
        <f t="shared" si="19"/>
        <v>-5.2074106136627045E-2</v>
      </c>
      <c r="S300">
        <v>26</v>
      </c>
      <c r="T300" s="9">
        <f t="shared" si="18"/>
        <v>-1.1801019263920078</v>
      </c>
    </row>
    <row r="301" spans="1:20" x14ac:dyDescent="0.25">
      <c r="A301">
        <v>300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>
        <v>0</v>
      </c>
      <c r="K301" t="str">
        <f xml:space="preserve"> IF(COUNTIF($D$2:$D1069,D301)&gt;1,"duplicated","original")</f>
        <v>duplicated</v>
      </c>
      <c r="L301" s="2">
        <f>COUNTIF($D$2:$D301,D301)</f>
        <v>19</v>
      </c>
      <c r="M301" t="str">
        <f xml:space="preserve"> IF(COUNTIF($I$2:$I1069,I301)&gt;1,"duplicated","original")</f>
        <v>duplicated</v>
      </c>
      <c r="N301" s="2">
        <f>COUNTIF($I$2:$I301,I301)</f>
        <v>2</v>
      </c>
      <c r="O301" s="8">
        <f t="shared" si="16"/>
        <v>1.7275402509335562</v>
      </c>
      <c r="P301" s="8">
        <f t="shared" si="17"/>
        <v>4.9774524116010319</v>
      </c>
      <c r="Q301">
        <v>68</v>
      </c>
      <c r="R301" s="9">
        <f t="shared" si="19"/>
        <v>-5.2074106136627045E-2</v>
      </c>
      <c r="S301">
        <v>26</v>
      </c>
      <c r="T301" s="9">
        <f t="shared" si="18"/>
        <v>-0.56481402443452733</v>
      </c>
    </row>
    <row r="302" spans="1:20" x14ac:dyDescent="0.25">
      <c r="A302">
        <v>301</v>
      </c>
      <c r="B302">
        <v>0</v>
      </c>
      <c r="C302">
        <v>167</v>
      </c>
      <c r="D302">
        <v>0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>
        <v>1</v>
      </c>
      <c r="K302" t="str">
        <f xml:space="preserve"> IF(COUNTIF($D$2:$D1070,D302)&gt;1,"duplicated","original")</f>
        <v>duplicated</v>
      </c>
      <c r="L302" s="2">
        <f>COUNTIF($D$2:$D302,D302)</f>
        <v>13</v>
      </c>
      <c r="M302" t="str">
        <f xml:space="preserve"> IF(COUNTIF($I$2:$I1070,I302)&gt;1,"duplicated","original")</f>
        <v>duplicated</v>
      </c>
      <c r="N302" s="2">
        <f>COUNTIF($I$2:$I302,I302)</f>
        <v>7</v>
      </c>
      <c r="O302" s="8">
        <f t="shared" si="16"/>
        <v>8.3075631012592623</v>
      </c>
      <c r="P302" s="8">
        <f t="shared" si="17"/>
        <v>1.7958194481202931</v>
      </c>
      <c r="Q302">
        <v>68</v>
      </c>
      <c r="R302" s="9">
        <f t="shared" si="19"/>
        <v>-5.2074106136627045E-2</v>
      </c>
      <c r="S302">
        <v>26</v>
      </c>
      <c r="T302" s="9">
        <f t="shared" si="18"/>
        <v>-2.0004857956686481</v>
      </c>
    </row>
    <row r="303" spans="1:20" x14ac:dyDescent="0.25">
      <c r="A303">
        <v>302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>
        <v>1</v>
      </c>
      <c r="K303" t="str">
        <f xml:space="preserve"> IF(COUNTIF($D$2:$D1057,$D$3)&gt;1,"duplicated","original")</f>
        <v>duplicated</v>
      </c>
      <c r="L303" s="2">
        <f>COUNTIF($D$2:$D303,D303)</f>
        <v>7</v>
      </c>
      <c r="M303" t="str">
        <f xml:space="preserve"> IF(COUNTIF($I$2:$I1057,I303)&gt;1,"duplicated","original")</f>
        <v>duplicated</v>
      </c>
      <c r="N303" s="2">
        <f>COUNTIF($I$2:$I303,I303)</f>
        <v>16</v>
      </c>
      <c r="O303" s="8">
        <f t="shared" si="16"/>
        <v>3.3189764508662045</v>
      </c>
      <c r="P303" s="8">
        <f t="shared" si="17"/>
        <v>2.8679204121186967</v>
      </c>
      <c r="Q303">
        <v>68</v>
      </c>
      <c r="R303" s="9">
        <f t="shared" si="19"/>
        <v>-5.2074106136627045E-2</v>
      </c>
      <c r="S303">
        <v>27</v>
      </c>
      <c r="T303" s="9">
        <f t="shared" si="18"/>
        <v>-2.2568557548175985</v>
      </c>
    </row>
    <row r="304" spans="1:20" x14ac:dyDescent="0.25">
      <c r="A304">
        <v>303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>
        <v>0</v>
      </c>
      <c r="K304" t="str">
        <f xml:space="preserve"> IF(COUNTIF($D$2:$D1072,D304)&gt;1,"duplicated","original")</f>
        <v>duplicated</v>
      </c>
      <c r="L304" s="2">
        <f>COUNTIF($D$2:$D304,D304)</f>
        <v>10</v>
      </c>
      <c r="M304" t="str">
        <f xml:space="preserve"> IF(COUNTIF($I$2:$I1072,I304)&gt;1,"duplicated","original")</f>
        <v>duplicated</v>
      </c>
      <c r="N304" s="2">
        <f>COUNTIF($I$2:$I304,I304)</f>
        <v>3</v>
      </c>
      <c r="O304" s="8">
        <f t="shared" si="16"/>
        <v>3.6033866457258754</v>
      </c>
      <c r="P304" s="8">
        <f t="shared" si="17"/>
        <v>1.332303460084423</v>
      </c>
      <c r="Q304">
        <v>68</v>
      </c>
      <c r="R304" s="9">
        <f t="shared" si="19"/>
        <v>-5.2074106136627045E-2</v>
      </c>
      <c r="S304">
        <v>27</v>
      </c>
      <c r="T304" s="9">
        <f t="shared" si="18"/>
        <v>-1.744115836519698</v>
      </c>
    </row>
    <row r="305" spans="1:20" x14ac:dyDescent="0.25">
      <c r="A305">
        <v>304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>
        <v>1</v>
      </c>
      <c r="K305" t="str">
        <f xml:space="preserve"> IF(COUNTIF($D$2:$D1073,D305)&gt;1,"duplicated","original")</f>
        <v>duplicated</v>
      </c>
      <c r="L305" s="2">
        <f>COUNTIF($D$2:$D305,D305)</f>
        <v>2</v>
      </c>
      <c r="M305" t="str">
        <f xml:space="preserve"> IF(COUNTIF($I$2:$I1073,I305)&gt;1,"duplicated","original")</f>
        <v>duplicated</v>
      </c>
      <c r="N305" s="2">
        <f>COUNTIF($I$2:$I305,I305)</f>
        <v>9</v>
      </c>
      <c r="O305" s="8">
        <f t="shared" si="16"/>
        <v>5.3837157538818463</v>
      </c>
      <c r="P305" s="8">
        <f t="shared" si="17"/>
        <v>2.2858187789601945</v>
      </c>
      <c r="Q305">
        <v>68</v>
      </c>
      <c r="R305" s="9">
        <f t="shared" si="19"/>
        <v>-5.2074106136627045E-2</v>
      </c>
      <c r="S305">
        <v>27</v>
      </c>
      <c r="T305" s="9">
        <f t="shared" si="18"/>
        <v>-2.1030337793282281</v>
      </c>
    </row>
    <row r="306" spans="1:20" x14ac:dyDescent="0.25">
      <c r="A306">
        <v>305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>
        <v>0</v>
      </c>
      <c r="K306" t="str">
        <f xml:space="preserve"> IF(COUNTIF($D$2:$D1060,$D$3)&gt;1,"duplicated","original")</f>
        <v>duplicated</v>
      </c>
      <c r="L306" s="2">
        <f>COUNTIF($D$2:$D306,D306)</f>
        <v>16</v>
      </c>
      <c r="M306" t="str">
        <f xml:space="preserve"> IF(COUNTIF($I$2:$I1074,I306)&gt;1,"duplicated","original")</f>
        <v>duplicated</v>
      </c>
      <c r="N306" s="2">
        <f>COUNTIF($I$2:$I306,I306)</f>
        <v>8</v>
      </c>
      <c r="O306" s="8">
        <f t="shared" si="16"/>
        <v>2.642800658126824</v>
      </c>
      <c r="P306" s="8">
        <f t="shared" si="17"/>
        <v>1.9429442888958308</v>
      </c>
      <c r="Q306">
        <v>68</v>
      </c>
      <c r="R306" s="9">
        <f t="shared" si="19"/>
        <v>-5.2074106136627045E-2</v>
      </c>
      <c r="S306">
        <v>27</v>
      </c>
      <c r="T306" s="9">
        <f t="shared" si="18"/>
        <v>-1.6415678528601181</v>
      </c>
    </row>
    <row r="307" spans="1:20" x14ac:dyDescent="0.25">
      <c r="A307">
        <v>306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>
        <v>0</v>
      </c>
      <c r="K307" t="str">
        <f xml:space="preserve"> IF(COUNTIF($D$2:$D1075,D307)&gt;1,"duplicated","original")</f>
        <v>duplicated</v>
      </c>
      <c r="L307" s="2">
        <f>COUNTIF($D$2:$D307,D307)</f>
        <v>17</v>
      </c>
      <c r="M307" t="str">
        <f xml:space="preserve"> IF(COUNTIF($I$2:$I1061,I307)&gt;1,"duplicated","original")</f>
        <v>duplicated</v>
      </c>
      <c r="N307" s="2">
        <f>COUNTIF($I$2:$I307,I307)</f>
        <v>15</v>
      </c>
      <c r="O307" s="8">
        <f t="shared" si="16"/>
        <v>2.642800658126824</v>
      </c>
      <c r="P307" s="8">
        <f t="shared" si="17"/>
        <v>2.0554725710276638</v>
      </c>
      <c r="Q307">
        <v>68</v>
      </c>
      <c r="R307" s="9">
        <f t="shared" si="19"/>
        <v>-5.2074106136627045E-2</v>
      </c>
      <c r="S307">
        <v>27</v>
      </c>
      <c r="T307" s="9">
        <f t="shared" si="18"/>
        <v>-2.0517597874984381</v>
      </c>
    </row>
    <row r="308" spans="1:20" x14ac:dyDescent="0.25">
      <c r="A308">
        <v>307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>
        <v>1</v>
      </c>
      <c r="K308" t="str">
        <f xml:space="preserve"> IF(COUNTIF($D$2:$D1076,D308)&gt;1,"duplicated","original")</f>
        <v>duplicated</v>
      </c>
      <c r="L308" s="2">
        <f>COUNTIF($D$2:$D308,D308)</f>
        <v>17</v>
      </c>
      <c r="M308" t="str">
        <f xml:space="preserve"> IF(COUNTIF($I$2:$I1076,I308)&gt;1,"duplicated","original")</f>
        <v>duplicated</v>
      </c>
      <c r="N308" s="2">
        <f>COUNTIF($I$2:$I308,I308)</f>
        <v>4</v>
      </c>
      <c r="O308" s="8">
        <f t="shared" si="16"/>
        <v>1.0077721376404618</v>
      </c>
      <c r="P308" s="8">
        <f t="shared" si="17"/>
        <v>3.7114730916110554</v>
      </c>
      <c r="Q308">
        <v>68</v>
      </c>
      <c r="R308" s="9">
        <f t="shared" si="19"/>
        <v>-5.2074106136627045E-2</v>
      </c>
      <c r="S308">
        <v>27</v>
      </c>
      <c r="T308" s="9">
        <f t="shared" si="18"/>
        <v>-1.1288279345622176</v>
      </c>
    </row>
    <row r="309" spans="1:20" x14ac:dyDescent="0.25">
      <c r="A309">
        <v>308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>
        <v>0</v>
      </c>
      <c r="K309" t="str">
        <f xml:space="preserve"> IF(COUNTIF($D$2:$D1063,$D$3)&gt;1,"duplicated","original")</f>
        <v>duplicated</v>
      </c>
      <c r="L309" s="2">
        <f>COUNTIF($D$2:$D309,D309)</f>
        <v>18</v>
      </c>
      <c r="M309" t="str">
        <f xml:space="preserve"> IF(COUNTIF($I$2:$I1077,I309)&gt;1,"duplicated","original")</f>
        <v>duplicated</v>
      </c>
      <c r="N309" s="2">
        <f>COUNTIF($I$2:$I309,I309)</f>
        <v>25</v>
      </c>
      <c r="O309" s="8">
        <f t="shared" si="16"/>
        <v>1.0077721376404618</v>
      </c>
      <c r="P309" s="8">
        <f t="shared" si="17"/>
        <v>3.4964220984096119</v>
      </c>
      <c r="Q309">
        <v>68</v>
      </c>
      <c r="R309" s="9">
        <f t="shared" si="19"/>
        <v>-5.2074106136627045E-2</v>
      </c>
      <c r="S309">
        <v>27</v>
      </c>
      <c r="T309" s="9">
        <f t="shared" si="18"/>
        <v>-2.4619517221367584</v>
      </c>
    </row>
    <row r="310" spans="1:20" x14ac:dyDescent="0.25">
      <c r="A310">
        <v>309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>
        <v>1</v>
      </c>
      <c r="K310" t="str">
        <f xml:space="preserve"> IF(COUNTIF($D$2:$D1078,D310)&gt;1,"duplicated","original")</f>
        <v>duplicated</v>
      </c>
      <c r="L310" s="2">
        <f>COUNTIF($D$2:$D310,D310)</f>
        <v>19</v>
      </c>
      <c r="M310" t="str">
        <f xml:space="preserve"> IF(COUNTIF($I$2:$I1078,I310)&gt;1,"duplicated","original")</f>
        <v>duplicated</v>
      </c>
      <c r="N310" s="2">
        <f>COUNTIF($I$2:$I310,I310)</f>
        <v>17</v>
      </c>
      <c r="O310" s="8">
        <f t="shared" si="16"/>
        <v>1.0077721376404618</v>
      </c>
      <c r="P310" s="8">
        <f t="shared" si="17"/>
        <v>2.8679204121186967</v>
      </c>
      <c r="Q310">
        <v>68</v>
      </c>
      <c r="R310" s="9">
        <f t="shared" si="19"/>
        <v>-5.2074106136627045E-2</v>
      </c>
      <c r="S310">
        <v>27</v>
      </c>
      <c r="T310" s="9">
        <f t="shared" si="18"/>
        <v>-2.2568557548175985</v>
      </c>
    </row>
    <row r="311" spans="1:20" x14ac:dyDescent="0.25">
      <c r="A311">
        <v>310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>
        <v>1</v>
      </c>
      <c r="K311" t="str">
        <f xml:space="preserve"> IF(COUNTIF($D$2:$D1079,D311)&gt;1,"duplicated","original")</f>
        <v>duplicated</v>
      </c>
      <c r="L311" s="2">
        <f>COUNTIF($D$2:$D311,D311)</f>
        <v>20</v>
      </c>
      <c r="M311" t="str">
        <f xml:space="preserve"> IF(COUNTIF($I$2:$I1065,I311)&gt;1,"duplicated","original")</f>
        <v>duplicated</v>
      </c>
      <c r="N311" s="2">
        <f>COUNTIF($I$2:$I311,I311)</f>
        <v>8</v>
      </c>
      <c r="O311" s="8">
        <f t="shared" si="16"/>
        <v>1.0077721376404618</v>
      </c>
      <c r="P311" s="8">
        <f t="shared" si="17"/>
        <v>1.7958194481202931</v>
      </c>
      <c r="Q311">
        <v>68</v>
      </c>
      <c r="R311" s="9">
        <f t="shared" si="19"/>
        <v>-5.2074106136627045E-2</v>
      </c>
      <c r="S311">
        <v>27</v>
      </c>
      <c r="T311" s="9">
        <f t="shared" si="18"/>
        <v>-2.0004857956686481</v>
      </c>
    </row>
    <row r="312" spans="1:20" x14ac:dyDescent="0.25">
      <c r="A312">
        <v>311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>
        <v>0</v>
      </c>
      <c r="K312" t="str">
        <f xml:space="preserve"> IF(COUNTIF($D$2:$D1066,$D$3)&gt;1,"duplicated","original")</f>
        <v>duplicated</v>
      </c>
      <c r="L312" s="2">
        <f>COUNTIF($D$2:$D312,D312)</f>
        <v>18</v>
      </c>
      <c r="M312" t="str">
        <f xml:space="preserve"> IF(COUNTIF($I$2:$I1080,I312)&gt;1,"duplicated","original")</f>
        <v>duplicated</v>
      </c>
      <c r="N312" s="2">
        <f>COUNTIF($I$2:$I312,I312)</f>
        <v>11</v>
      </c>
      <c r="O312" s="8">
        <f t="shared" si="16"/>
        <v>1.7365496484133203</v>
      </c>
      <c r="P312" s="8">
        <f t="shared" si="17"/>
        <v>2.7883745282427403</v>
      </c>
      <c r="Q312">
        <v>68</v>
      </c>
      <c r="R312" s="9">
        <f t="shared" si="19"/>
        <v>-5.2074106136627045E-2</v>
      </c>
      <c r="S312">
        <v>27</v>
      </c>
      <c r="T312" s="9">
        <f t="shared" si="18"/>
        <v>-1.4364718855409579</v>
      </c>
    </row>
    <row r="313" spans="1:20" x14ac:dyDescent="0.25">
      <c r="A313">
        <v>312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>
        <v>0</v>
      </c>
      <c r="K313" t="str">
        <f xml:space="preserve"> IF(COUNTIF($D$2:$D1081,D313)&gt;1,"duplicated","original")</f>
        <v>duplicated</v>
      </c>
      <c r="L313" s="2">
        <f>COUNTIF($D$2:$D313,D313)</f>
        <v>22</v>
      </c>
      <c r="M313" t="str">
        <f xml:space="preserve"> IF(COUNTIF($I$2:$I1081,I313)&gt;1,"duplicated","original")</f>
        <v>duplicated</v>
      </c>
      <c r="N313" s="2">
        <f>COUNTIF($I$2:$I313,I313)</f>
        <v>25</v>
      </c>
      <c r="O313" s="8">
        <f t="shared" si="16"/>
        <v>0.99216698120607405</v>
      </c>
      <c r="P313" s="8">
        <f t="shared" si="17"/>
        <v>3.3503682618851132</v>
      </c>
      <c r="Q313">
        <v>68</v>
      </c>
      <c r="R313" s="9">
        <f t="shared" si="19"/>
        <v>-5.2074106136627045E-2</v>
      </c>
      <c r="S313">
        <v>27</v>
      </c>
      <c r="T313" s="9">
        <f t="shared" si="18"/>
        <v>-2.4106777303069684</v>
      </c>
    </row>
    <row r="314" spans="1:20" x14ac:dyDescent="0.25">
      <c r="A314">
        <v>313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>
        <v>1</v>
      </c>
      <c r="K314" t="str">
        <f xml:space="preserve"> IF(COUNTIF($D$2:$D1082,D314)&gt;1,"duplicated","original")</f>
        <v>duplicated</v>
      </c>
      <c r="L314" s="2">
        <f>COUNTIF($D$2:$D314,D314)</f>
        <v>19</v>
      </c>
      <c r="M314" t="str">
        <f xml:space="preserve"> IF(COUNTIF($I$2:$I1082,I314)&gt;1,"duplicated","original")</f>
        <v>duplicated</v>
      </c>
      <c r="N314" s="2">
        <f>COUNTIF($I$2:$I314,I314)</f>
        <v>15</v>
      </c>
      <c r="O314" s="8">
        <f t="shared" si="16"/>
        <v>2.2325759379236296</v>
      </c>
      <c r="P314" s="8">
        <f t="shared" si="17"/>
        <v>2.4949884749727951</v>
      </c>
      <c r="Q314">
        <v>68</v>
      </c>
      <c r="R314" s="9">
        <f t="shared" si="19"/>
        <v>-5.2074106136627045E-2</v>
      </c>
      <c r="S314">
        <v>27</v>
      </c>
      <c r="T314" s="9">
        <f t="shared" si="18"/>
        <v>-2.1543077711580185</v>
      </c>
    </row>
    <row r="315" spans="1:20" x14ac:dyDescent="0.25">
      <c r="A315">
        <v>314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>
        <v>0</v>
      </c>
      <c r="K315" t="str">
        <f xml:space="preserve"> IF(COUNTIF($D$2:$D1069,$D$3)&gt;1,"duplicated","original")</f>
        <v>duplicated</v>
      </c>
      <c r="L315" s="2">
        <f>COUNTIF($D$2:$D315,D315)</f>
        <v>8</v>
      </c>
      <c r="M315" t="str">
        <f xml:space="preserve"> IF(COUNTIF($I$2:$I1069,I315)&gt;1,"duplicated","original")</f>
        <v>duplicated</v>
      </c>
      <c r="N315" s="2">
        <f>COUNTIF($I$2:$I315,I315)</f>
        <v>18</v>
      </c>
      <c r="O315" s="8">
        <f t="shared" si="16"/>
        <v>4.3606885558824793</v>
      </c>
      <c r="P315" s="8">
        <f t="shared" si="17"/>
        <v>2.8679204121186967</v>
      </c>
      <c r="Q315">
        <v>68</v>
      </c>
      <c r="R315" s="9">
        <f t="shared" si="19"/>
        <v>-5.2074106136627045E-2</v>
      </c>
      <c r="S315">
        <v>27</v>
      </c>
      <c r="T315" s="9">
        <f t="shared" si="18"/>
        <v>-2.2568557548175985</v>
      </c>
    </row>
    <row r="316" spans="1:20" x14ac:dyDescent="0.25">
      <c r="A316">
        <v>315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>
        <v>1</v>
      </c>
      <c r="K316" t="str">
        <f xml:space="preserve"> IF(COUNTIF($D$2:$D1084,D316)&gt;1,"duplicated","original")</f>
        <v>duplicated</v>
      </c>
      <c r="L316" s="2">
        <f>COUNTIF($D$2:$D316,D316)</f>
        <v>18</v>
      </c>
      <c r="M316" t="str">
        <f xml:space="preserve"> IF(COUNTIF($I$2:$I1084,I316)&gt;1,"duplicated","original")</f>
        <v>duplicated</v>
      </c>
      <c r="N316" s="2">
        <f>COUNTIF($I$2:$I316,I316)</f>
        <v>5</v>
      </c>
      <c r="O316" s="8">
        <f t="shared" si="16"/>
        <v>3.3142714612106796</v>
      </c>
      <c r="P316" s="8">
        <f t="shared" si="17"/>
        <v>3.1265048392338888</v>
      </c>
      <c r="Q316">
        <v>68</v>
      </c>
      <c r="R316" s="9">
        <f t="shared" si="19"/>
        <v>-5.2074106136627045E-2</v>
      </c>
      <c r="S316">
        <v>27</v>
      </c>
      <c r="T316" s="9">
        <f t="shared" si="18"/>
        <v>-1.3339239018813778</v>
      </c>
    </row>
    <row r="317" spans="1:20" x14ac:dyDescent="0.25">
      <c r="A317">
        <v>316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>
        <v>0</v>
      </c>
      <c r="K317" t="str">
        <f xml:space="preserve"> IF(COUNTIF($D$2:$D1085,D317)&gt;1,"duplicated","original")</f>
        <v>duplicated</v>
      </c>
      <c r="L317" s="2">
        <f>COUNTIF($D$2:$D317,D317)</f>
        <v>21</v>
      </c>
      <c r="M317" t="str">
        <f xml:space="preserve"> IF(COUNTIF($I$2:$I1085,I317)&gt;1,"duplicated","original")</f>
        <v>duplicated</v>
      </c>
      <c r="N317" s="2">
        <f>COUNTIF($I$2:$I317,I317)</f>
        <v>15</v>
      </c>
      <c r="O317" s="8">
        <f t="shared" si="16"/>
        <v>1.0077721376404618</v>
      </c>
      <c r="P317" s="8">
        <f t="shared" si="17"/>
        <v>2.6879299637912952</v>
      </c>
      <c r="Q317">
        <v>68</v>
      </c>
      <c r="R317" s="9">
        <f t="shared" si="19"/>
        <v>-5.2074106136627045E-2</v>
      </c>
      <c r="S317">
        <v>27</v>
      </c>
      <c r="T317" s="9">
        <f t="shared" si="18"/>
        <v>-2.2055817629878085</v>
      </c>
    </row>
    <row r="318" spans="1:20" x14ac:dyDescent="0.25">
      <c r="A318">
        <v>317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>
        <v>0</v>
      </c>
      <c r="K318" t="str">
        <f xml:space="preserve"> IF(COUNTIF($D$2:$D1072,$D$3)&gt;1,"duplicated","original")</f>
        <v>duplicated</v>
      </c>
      <c r="L318" s="2">
        <f>COUNTIF($D$2:$D318,D318)</f>
        <v>19</v>
      </c>
      <c r="M318" t="str">
        <f xml:space="preserve"> IF(COUNTIF($I$2:$I1086,I318)&gt;1,"duplicated","original")</f>
        <v>duplicated</v>
      </c>
      <c r="N318" s="2">
        <f>COUNTIF($I$2:$I318,I318)</f>
        <v>9</v>
      </c>
      <c r="O318" s="8">
        <f t="shared" si="16"/>
        <v>3.3142714612106796</v>
      </c>
      <c r="P318" s="8">
        <f t="shared" si="17"/>
        <v>1.7958194481202931</v>
      </c>
      <c r="Q318">
        <v>68</v>
      </c>
      <c r="R318" s="9">
        <f t="shared" si="19"/>
        <v>-5.2074106136627045E-2</v>
      </c>
      <c r="S318">
        <v>27</v>
      </c>
      <c r="T318" s="9">
        <f t="shared" si="18"/>
        <v>-2.0004857956686481</v>
      </c>
    </row>
    <row r="319" spans="1:20" x14ac:dyDescent="0.25">
      <c r="A319">
        <v>318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>
        <v>1</v>
      </c>
      <c r="K319" t="str">
        <f xml:space="preserve"> IF(COUNTIF($D$2:$D1087,D319)&gt;1,"duplicated","original")</f>
        <v>duplicated</v>
      </c>
      <c r="L319" s="2">
        <f>COUNTIF($D$2:$D319,D319)</f>
        <v>20</v>
      </c>
      <c r="M319" t="str">
        <f xml:space="preserve"> IF(COUNTIF($I$2:$I1073,I319)&gt;1,"duplicated","original")</f>
        <v>duplicated</v>
      </c>
      <c r="N319" s="2">
        <f>COUNTIF($I$2:$I319,I319)</f>
        <v>16</v>
      </c>
      <c r="O319" s="8">
        <f t="shared" si="16"/>
        <v>2.2325759379236296</v>
      </c>
      <c r="P319" s="8">
        <f t="shared" si="17"/>
        <v>2.0554725710276638</v>
      </c>
      <c r="Q319">
        <v>68</v>
      </c>
      <c r="R319" s="9">
        <f t="shared" si="19"/>
        <v>-5.2074106136627045E-2</v>
      </c>
      <c r="S319">
        <v>27</v>
      </c>
      <c r="T319" s="9">
        <f t="shared" si="18"/>
        <v>-2.0517597874984381</v>
      </c>
    </row>
    <row r="320" spans="1:20" x14ac:dyDescent="0.25">
      <c r="A320">
        <v>319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>
        <v>0</v>
      </c>
      <c r="K320" t="str">
        <f xml:space="preserve"> IF(COUNTIF($D$2:$D1088,D320)&gt;1,"duplicated","original")</f>
        <v>duplicated</v>
      </c>
      <c r="L320" s="2">
        <f>COUNTIF($D$2:$D320,D320)</f>
        <v>19</v>
      </c>
      <c r="M320" t="str">
        <f xml:space="preserve"> IF(COUNTIF($I$2:$I1088,I320)&gt;1,"duplicated","original")</f>
        <v>duplicated</v>
      </c>
      <c r="N320" s="2">
        <f>COUNTIF($I$2:$I320,I320)</f>
        <v>10</v>
      </c>
      <c r="O320" s="8">
        <f t="shared" si="16"/>
        <v>1.7365496484133203</v>
      </c>
      <c r="P320" s="8">
        <f t="shared" si="17"/>
        <v>2.2858187789601945</v>
      </c>
      <c r="Q320">
        <v>68</v>
      </c>
      <c r="R320" s="9">
        <f t="shared" si="19"/>
        <v>-5.2074106136627045E-2</v>
      </c>
      <c r="S320">
        <v>27</v>
      </c>
      <c r="T320" s="9">
        <f t="shared" si="18"/>
        <v>-2.1030337793282281</v>
      </c>
    </row>
    <row r="321" spans="1:20" x14ac:dyDescent="0.25">
      <c r="A321">
        <v>320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>
        <v>1</v>
      </c>
      <c r="K321" t="str">
        <f xml:space="preserve"> IF(COUNTIF($D$2:$D1075,$D$3)&gt;1,"duplicated","original")</f>
        <v>duplicated</v>
      </c>
      <c r="L321" s="2">
        <f>COUNTIF($D$2:$D321,D321)</f>
        <v>15</v>
      </c>
      <c r="M321" t="str">
        <f xml:space="preserve"> IF(COUNTIF($I$2:$I1089,I321)&gt;1,"duplicated","original")</f>
        <v>duplicated</v>
      </c>
      <c r="N321" s="2">
        <f>COUNTIF($I$2:$I321,I321)</f>
        <v>2</v>
      </c>
      <c r="O321" s="8">
        <f t="shared" si="16"/>
        <v>2.9973980914445737</v>
      </c>
      <c r="P321" s="8">
        <f t="shared" si="17"/>
        <v>5.0769117098638743</v>
      </c>
      <c r="Q321">
        <v>70</v>
      </c>
      <c r="R321" s="9">
        <f t="shared" si="19"/>
        <v>5.0473877522953021E-2</v>
      </c>
      <c r="S321">
        <v>27</v>
      </c>
      <c r="T321" s="9">
        <f t="shared" si="18"/>
        <v>-0.51354003260473735</v>
      </c>
    </row>
    <row r="322" spans="1:20" x14ac:dyDescent="0.25">
      <c r="A322">
        <v>321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>
        <v>0</v>
      </c>
      <c r="K322" t="str">
        <f xml:space="preserve"> IF(COUNTIF($D$2:$D1090,D322)&gt;1,"duplicated","original")</f>
        <v>duplicated</v>
      </c>
      <c r="L322" s="2">
        <f>COUNTIF($D$2:$D322,D322)</f>
        <v>14</v>
      </c>
      <c r="M322" t="str">
        <f xml:space="preserve"> IF(COUNTIF($I$2:$I1090,I322)&gt;1,"duplicated","original")</f>
        <v>duplicated</v>
      </c>
      <c r="N322" s="2">
        <f>COUNTIF($I$2:$I322,I322)</f>
        <v>11</v>
      </c>
      <c r="O322" s="8">
        <f t="shared" ref="O322:O385" si="20">SQRT(ABS($D322 - $U$8))</f>
        <v>3.002599653867366</v>
      </c>
      <c r="P322" s="8">
        <f t="shared" ref="P322:P385" si="21">SQRT(ABS($I322 - $W$8))</f>
        <v>1.4916324916838848</v>
      </c>
      <c r="Q322">
        <v>70</v>
      </c>
      <c r="R322" s="9">
        <f t="shared" si="19"/>
        <v>5.0473877522953021E-2</v>
      </c>
      <c r="S322">
        <v>27</v>
      </c>
      <c r="T322" s="9">
        <f t="shared" si="18"/>
        <v>-1.9492118038388582</v>
      </c>
    </row>
    <row r="323" spans="1:20" x14ac:dyDescent="0.25">
      <c r="A323">
        <v>322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>
        <v>1</v>
      </c>
      <c r="K323" t="str">
        <f xml:space="preserve"> IF(COUNTIF($D$2:$D1091,D323)&gt;1,"duplicated","original")</f>
        <v>duplicated</v>
      </c>
      <c r="L323" s="2">
        <f>COUNTIF($D$2:$D323,D323)</f>
        <v>21</v>
      </c>
      <c r="M323" t="str">
        <f xml:space="preserve"> IF(COUNTIF($I$2:$I1077,I323)&gt;1,"duplicated","original")</f>
        <v>duplicated</v>
      </c>
      <c r="N323" s="2">
        <f>COUNTIF($I$2:$I323,I323)</f>
        <v>19</v>
      </c>
      <c r="O323" s="8">
        <f t="shared" si="20"/>
        <v>2.2325759379236296</v>
      </c>
      <c r="P323" s="8">
        <f t="shared" si="21"/>
        <v>2.8679204121186967</v>
      </c>
      <c r="Q323">
        <v>70</v>
      </c>
      <c r="R323" s="9">
        <f t="shared" si="19"/>
        <v>5.0473877522953021E-2</v>
      </c>
      <c r="S323">
        <v>27</v>
      </c>
      <c r="T323" s="9">
        <f t="shared" ref="T323:T386" si="22">STANDARDIZE($I323,$U$8,$U$26)</f>
        <v>-2.2568557548175985</v>
      </c>
    </row>
    <row r="324" spans="1:20" x14ac:dyDescent="0.25">
      <c r="A324">
        <v>323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>
        <v>1</v>
      </c>
      <c r="K324" t="str">
        <f xml:space="preserve"> IF(COUNTIF($D$2:$D1078,$D$3)&gt;1,"duplicated","original")</f>
        <v>duplicated</v>
      </c>
      <c r="L324" s="2">
        <f>COUNTIF($D$2:$D324,D324)</f>
        <v>23</v>
      </c>
      <c r="M324" t="str">
        <f xml:space="preserve"> IF(COUNTIF($I$2:$I1092,I324)&gt;1,"duplicated","original")</f>
        <v>duplicated</v>
      </c>
      <c r="N324" s="2">
        <f>COUNTIF($I$2:$I324,I324)</f>
        <v>9</v>
      </c>
      <c r="O324" s="8">
        <f t="shared" si="20"/>
        <v>0.99216698120607405</v>
      </c>
      <c r="P324" s="8">
        <f t="shared" si="21"/>
        <v>1.6658428826731906</v>
      </c>
      <c r="Q324">
        <v>70</v>
      </c>
      <c r="R324" s="9">
        <f t="shared" si="19"/>
        <v>5.0473877522953021E-2</v>
      </c>
      <c r="S324">
        <v>27</v>
      </c>
      <c r="T324" s="9">
        <f t="shared" si="22"/>
        <v>-1.6928418446899081</v>
      </c>
    </row>
    <row r="325" spans="1:20" x14ac:dyDescent="0.25">
      <c r="A325">
        <v>324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>
        <v>1</v>
      </c>
      <c r="K325" t="str">
        <f xml:space="preserve"> IF(COUNTIF($D$2:$D1093,D325)&gt;1,"duplicated","original")</f>
        <v>duplicated</v>
      </c>
      <c r="L325" s="2">
        <f>COUNTIF($D$2:$D325,D325)</f>
        <v>10</v>
      </c>
      <c r="M325" t="str">
        <f xml:space="preserve"> IF(COUNTIF($I$2:$I1093,I325)&gt;1,"duplicated","original")</f>
        <v>duplicated</v>
      </c>
      <c r="N325" s="2">
        <f>COUNTIF($I$2:$I325,I325)</f>
        <v>6</v>
      </c>
      <c r="O325" s="8">
        <f t="shared" si="20"/>
        <v>4.5808727682173815</v>
      </c>
      <c r="P325" s="8">
        <f t="shared" si="21"/>
        <v>3.1265048392338888</v>
      </c>
      <c r="Q325">
        <v>70</v>
      </c>
      <c r="R325" s="9">
        <f t="shared" ref="R325:R388" si="23">STANDARDIZE($Q325,$U$8,$U$26)</f>
        <v>5.0473877522953021E-2</v>
      </c>
      <c r="S325">
        <v>27</v>
      </c>
      <c r="T325" s="9">
        <f t="shared" si="22"/>
        <v>-1.3339239018813778</v>
      </c>
    </row>
    <row r="326" spans="1:20" x14ac:dyDescent="0.25">
      <c r="A326">
        <v>325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>
        <v>0</v>
      </c>
      <c r="K326" t="str">
        <f xml:space="preserve"> IF(COUNTIF($D$2:$D1094,D326)&gt;1,"duplicated","original")</f>
        <v>duplicated</v>
      </c>
      <c r="L326" s="2">
        <f>COUNTIF($D$2:$D326,D326)</f>
        <v>4</v>
      </c>
      <c r="M326" t="str">
        <f xml:space="preserve"> IF(COUNTIF($I$2:$I1094,I326)&gt;1,"duplicated","original")</f>
        <v>duplicated</v>
      </c>
      <c r="N326" s="2">
        <f>COUNTIF($I$2:$I326,I326)</f>
        <v>26</v>
      </c>
      <c r="O326" s="8">
        <f t="shared" si="20"/>
        <v>2.4463023767710266</v>
      </c>
      <c r="P326" s="8">
        <f t="shared" si="21"/>
        <v>3.4964220984096119</v>
      </c>
      <c r="Q326">
        <v>70</v>
      </c>
      <c r="R326" s="9">
        <f t="shared" si="23"/>
        <v>5.0473877522953021E-2</v>
      </c>
      <c r="S326">
        <v>27</v>
      </c>
      <c r="T326" s="9">
        <f t="shared" si="22"/>
        <v>-2.4619517221367584</v>
      </c>
    </row>
    <row r="327" spans="1:20" x14ac:dyDescent="0.25">
      <c r="A327">
        <v>326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>
        <v>0</v>
      </c>
      <c r="K327" t="str">
        <f xml:space="preserve"> IF(COUNTIF($D$2:$D1081,$D$3)&gt;1,"duplicated","original")</f>
        <v>duplicated</v>
      </c>
      <c r="L327" s="2">
        <f>COUNTIF($D$2:$D327,D327)</f>
        <v>20</v>
      </c>
      <c r="M327" t="str">
        <f xml:space="preserve"> IF(COUNTIF($I$2:$I1081,I327)&gt;1,"duplicated","original")</f>
        <v>duplicated</v>
      </c>
      <c r="N327" s="2">
        <f>COUNTIF($I$2:$I327,I327)</f>
        <v>21</v>
      </c>
      <c r="O327" s="8">
        <f t="shared" si="20"/>
        <v>1.7275402509335562</v>
      </c>
      <c r="P327" s="8">
        <f t="shared" si="21"/>
        <v>3.0372631578852487</v>
      </c>
      <c r="Q327">
        <v>70</v>
      </c>
      <c r="R327" s="9">
        <f t="shared" si="23"/>
        <v>5.0473877522953021E-2</v>
      </c>
      <c r="S327">
        <v>27</v>
      </c>
      <c r="T327" s="9">
        <f t="shared" si="22"/>
        <v>-2.3081297466473885</v>
      </c>
    </row>
    <row r="328" spans="1:20" x14ac:dyDescent="0.25">
      <c r="A328">
        <v>327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>
        <v>1</v>
      </c>
      <c r="K328" t="str">
        <f xml:space="preserve"> IF(COUNTIF($D$2:$D1096,D328)&gt;1,"duplicated","original")</f>
        <v>duplicated</v>
      </c>
      <c r="L328" s="2">
        <f>COUNTIF($D$2:$D328,D328)</f>
        <v>18</v>
      </c>
      <c r="M328" t="str">
        <f xml:space="preserve"> IF(COUNTIF($I$2:$I1096,I328)&gt;1,"duplicated","original")</f>
        <v>duplicated</v>
      </c>
      <c r="N328" s="2">
        <f>COUNTIF($I$2:$I328,I328)</f>
        <v>10</v>
      </c>
      <c r="O328" s="8">
        <f t="shared" si="20"/>
        <v>2.2395545720978594</v>
      </c>
      <c r="P328" s="8">
        <f t="shared" si="21"/>
        <v>1.7958194481202931</v>
      </c>
      <c r="Q328">
        <v>70</v>
      </c>
      <c r="R328" s="9">
        <f t="shared" si="23"/>
        <v>5.0473877522953021E-2</v>
      </c>
      <c r="S328">
        <v>27</v>
      </c>
      <c r="T328" s="9">
        <f t="shared" si="22"/>
        <v>-2.0004857956686481</v>
      </c>
    </row>
    <row r="329" spans="1:20" x14ac:dyDescent="0.25">
      <c r="A329">
        <v>328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>
        <v>0</v>
      </c>
      <c r="K329" t="str">
        <f xml:space="preserve"> IF(COUNTIF($D$2:$D1097,D329)&gt;1,"duplicated","original")</f>
        <v>duplicated</v>
      </c>
      <c r="L329" s="2">
        <f>COUNTIF($D$2:$D329,D329)</f>
        <v>24</v>
      </c>
      <c r="M329" t="str">
        <f xml:space="preserve"> IF(COUNTIF($I$2:$I1097,I329)&gt;1,"duplicated","original")</f>
        <v>duplicated</v>
      </c>
      <c r="N329" s="2">
        <f>COUNTIF($I$2:$I329,I329)</f>
        <v>9</v>
      </c>
      <c r="O329" s="8">
        <f t="shared" si="20"/>
        <v>0.99216698120607405</v>
      </c>
      <c r="P329" s="8">
        <f t="shared" si="21"/>
        <v>1.9429442888958308</v>
      </c>
      <c r="Q329">
        <v>70</v>
      </c>
      <c r="R329" s="9">
        <f t="shared" si="23"/>
        <v>5.0473877522953021E-2</v>
      </c>
      <c r="S329">
        <v>27</v>
      </c>
      <c r="T329" s="9">
        <f t="shared" si="22"/>
        <v>-1.6415678528601181</v>
      </c>
    </row>
    <row r="330" spans="1:20" x14ac:dyDescent="0.25">
      <c r="A330">
        <v>329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>
        <v>1</v>
      </c>
      <c r="K330" t="str">
        <f xml:space="preserve"> IF(COUNTIF($D$2:$D1084,$D$3)&gt;1,"duplicated","original")</f>
        <v>duplicated</v>
      </c>
      <c r="L330" s="2">
        <f>COUNTIF($D$2:$D330,D330)</f>
        <v>8</v>
      </c>
      <c r="M330" t="str">
        <f xml:space="preserve"> IF(COUNTIF($I$2:$I1098,I330)&gt;1,"duplicated","original")</f>
        <v>duplicated</v>
      </c>
      <c r="N330" s="2">
        <f>COUNTIF($I$2:$I330,I330)</f>
        <v>18</v>
      </c>
      <c r="O330" s="8">
        <f t="shared" si="20"/>
        <v>4.121212845582666</v>
      </c>
      <c r="P330" s="8">
        <f t="shared" si="21"/>
        <v>3.1976503076864229</v>
      </c>
      <c r="Q330">
        <v>70</v>
      </c>
      <c r="R330" s="9">
        <f t="shared" si="23"/>
        <v>5.0473877522953021E-2</v>
      </c>
      <c r="S330">
        <v>27</v>
      </c>
      <c r="T330" s="9">
        <f t="shared" si="22"/>
        <v>-2.3594037384771784</v>
      </c>
    </row>
    <row r="331" spans="1:20" x14ac:dyDescent="0.25">
      <c r="A331">
        <v>330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>
        <v>0</v>
      </c>
      <c r="K331" t="str">
        <f xml:space="preserve"> IF(COUNTIF($D$2:$D1099,D331)&gt;1,"duplicated","original")</f>
        <v>duplicated</v>
      </c>
      <c r="L331" s="2">
        <f>COUNTIF($D$2:$D331,D331)</f>
        <v>25</v>
      </c>
      <c r="M331" t="str">
        <f xml:space="preserve"> IF(COUNTIF($I$2:$I1085,I331)&gt;1,"duplicated","original")</f>
        <v>duplicated</v>
      </c>
      <c r="N331" s="2">
        <f>COUNTIF($I$2:$I331,I331)</f>
        <v>10</v>
      </c>
      <c r="O331" s="8">
        <f t="shared" si="20"/>
        <v>0.99216698120607405</v>
      </c>
      <c r="P331" s="8">
        <f t="shared" si="21"/>
        <v>1.9429442888958308</v>
      </c>
      <c r="Q331">
        <v>70</v>
      </c>
      <c r="R331" s="9">
        <f t="shared" si="23"/>
        <v>5.0473877522953021E-2</v>
      </c>
      <c r="S331">
        <v>27</v>
      </c>
      <c r="T331" s="9">
        <f t="shared" si="22"/>
        <v>-1.6415678528601181</v>
      </c>
    </row>
    <row r="332" spans="1:20" x14ac:dyDescent="0.25">
      <c r="A332">
        <v>331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>
        <v>0</v>
      </c>
      <c r="K332" t="str">
        <f xml:space="preserve"> IF(COUNTIF($D$2:$D1100,D332)&gt;1,"duplicated","original")</f>
        <v>duplicated</v>
      </c>
      <c r="L332" s="2">
        <f>COUNTIF($D$2:$D332,D332)</f>
        <v>21</v>
      </c>
      <c r="M332" t="str">
        <f xml:space="preserve"> IF(COUNTIF($I$2:$I1100,I332)&gt;1,"duplicated","original")</f>
        <v>duplicated</v>
      </c>
      <c r="N332" s="2">
        <f>COUNTIF($I$2:$I332,I332)</f>
        <v>5</v>
      </c>
      <c r="O332" s="8">
        <f t="shared" si="20"/>
        <v>1.7275402509335562</v>
      </c>
      <c r="P332" s="8">
        <f t="shared" si="21"/>
        <v>3.5742177479489028</v>
      </c>
      <c r="Q332">
        <v>70</v>
      </c>
      <c r="R332" s="9">
        <f t="shared" si="23"/>
        <v>5.0473877522953021E-2</v>
      </c>
      <c r="S332">
        <v>27</v>
      </c>
      <c r="T332" s="9">
        <f t="shared" si="22"/>
        <v>-1.1801019263920078</v>
      </c>
    </row>
    <row r="333" spans="1:20" x14ac:dyDescent="0.25">
      <c r="A333">
        <v>332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>
        <v>0</v>
      </c>
      <c r="K333" t="str">
        <f xml:space="preserve"> IF(COUNTIF($D$2:$D1087,$D$3)&gt;1,"duplicated","original")</f>
        <v>duplicated</v>
      </c>
      <c r="L333" s="2">
        <f>COUNTIF($D$2:$D333,D333)</f>
        <v>8</v>
      </c>
      <c r="M333" t="str">
        <f xml:space="preserve"> IF(COUNTIF($I$2:$I1101,I333)&gt;1,"duplicated","original")</f>
        <v>duplicated</v>
      </c>
      <c r="N333" s="2">
        <f>COUNTIF($I$2:$I333,I333)</f>
        <v>20</v>
      </c>
      <c r="O333" s="8">
        <f t="shared" si="20"/>
        <v>3.3189764508662045</v>
      </c>
      <c r="P333" s="8">
        <f t="shared" si="21"/>
        <v>2.8679204121186967</v>
      </c>
      <c r="Q333">
        <v>70</v>
      </c>
      <c r="R333" s="9">
        <f t="shared" si="23"/>
        <v>5.0473877522953021E-2</v>
      </c>
      <c r="S333">
        <v>27</v>
      </c>
      <c r="T333" s="9">
        <f t="shared" si="22"/>
        <v>-2.2568557548175985</v>
      </c>
    </row>
    <row r="334" spans="1:20" x14ac:dyDescent="0.25">
      <c r="A334">
        <v>333</v>
      </c>
      <c r="B334">
        <v>1</v>
      </c>
      <c r="C334">
        <v>180</v>
      </c>
      <c r="D334">
        <v>0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>
        <v>1</v>
      </c>
      <c r="K334" t="str">
        <f xml:space="preserve"> IF(COUNTIF($D$2:$D1102,D334)&gt;1,"duplicated","original")</f>
        <v>duplicated</v>
      </c>
      <c r="L334" s="2">
        <f>COUNTIF($D$2:$D334,D334)</f>
        <v>14</v>
      </c>
      <c r="M334" t="str">
        <f xml:space="preserve"> IF(COUNTIF($I$2:$I1102,I334)&gt;1,"duplicated","original")</f>
        <v>duplicated</v>
      </c>
      <c r="N334" s="2">
        <f>COUNTIF($I$2:$I334,I334)</f>
        <v>12</v>
      </c>
      <c r="O334" s="8">
        <f t="shared" si="20"/>
        <v>8.3075631012592623</v>
      </c>
      <c r="P334" s="8">
        <f t="shared" si="21"/>
        <v>2.7883745282427403</v>
      </c>
      <c r="Q334">
        <v>70</v>
      </c>
      <c r="R334" s="9">
        <f t="shared" si="23"/>
        <v>5.0473877522953021E-2</v>
      </c>
      <c r="S334">
        <v>27</v>
      </c>
      <c r="T334" s="9">
        <f t="shared" si="22"/>
        <v>-1.4364718855409579</v>
      </c>
    </row>
    <row r="335" spans="1:20" x14ac:dyDescent="0.25">
      <c r="A335">
        <v>334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>
        <v>0</v>
      </c>
      <c r="K335" t="str">
        <f xml:space="preserve"> IF(COUNTIF($D$2:$D1103,D335)&gt;1,"duplicated","original")</f>
        <v>duplicated</v>
      </c>
      <c r="L335" s="2">
        <f>COUNTIF($D$2:$D335,D335)</f>
        <v>20</v>
      </c>
      <c r="M335" t="str">
        <f xml:space="preserve"> IF(COUNTIF($I$2:$I1089,I335)&gt;1,"duplicated","original")</f>
        <v>duplicated</v>
      </c>
      <c r="N335" s="2">
        <f>COUNTIF($I$2:$I335,I335)</f>
        <v>3</v>
      </c>
      <c r="O335" s="8">
        <f t="shared" si="20"/>
        <v>3.3142714612106796</v>
      </c>
      <c r="P335" s="8">
        <f t="shared" si="21"/>
        <v>3.282534464366357</v>
      </c>
      <c r="Q335">
        <v>70</v>
      </c>
      <c r="R335" s="9">
        <f t="shared" si="23"/>
        <v>5.0473877522953021E-2</v>
      </c>
      <c r="S335">
        <v>28</v>
      </c>
      <c r="T335" s="9">
        <f t="shared" si="22"/>
        <v>-1.2826499100515878</v>
      </c>
    </row>
    <row r="336" spans="1:20" x14ac:dyDescent="0.25">
      <c r="A336">
        <v>335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>
        <v>0</v>
      </c>
      <c r="K336" t="str">
        <f xml:space="preserve"> IF(COUNTIF($D$2:$D1090,$D$3)&gt;1,"duplicated","original")</f>
        <v>duplicated</v>
      </c>
      <c r="L336" s="2">
        <f>COUNTIF($D$2:$D336,D336)</f>
        <v>15</v>
      </c>
      <c r="M336" t="str">
        <f xml:space="preserve"> IF(COUNTIF($I$2:$I1104,I336)&gt;1,"duplicated","original")</f>
        <v>duplicated</v>
      </c>
      <c r="N336" s="2">
        <f>COUNTIF($I$2:$I336,I336)</f>
        <v>26</v>
      </c>
      <c r="O336" s="8">
        <f t="shared" si="20"/>
        <v>3.002599653867366</v>
      </c>
      <c r="P336" s="8">
        <f t="shared" si="21"/>
        <v>3.3503682618851132</v>
      </c>
      <c r="Q336">
        <v>70</v>
      </c>
      <c r="R336" s="9">
        <f t="shared" si="23"/>
        <v>5.0473877522953021E-2</v>
      </c>
      <c r="S336">
        <v>28</v>
      </c>
      <c r="T336" s="9">
        <f t="shared" si="22"/>
        <v>-2.4106777303069684</v>
      </c>
    </row>
    <row r="337" spans="1:20" x14ac:dyDescent="0.25">
      <c r="A337">
        <v>336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>
        <v>0</v>
      </c>
      <c r="K337" t="str">
        <f xml:space="preserve"> IF(COUNTIF($D$2:$D1105,D337)&gt;1,"duplicated","original")</f>
        <v>duplicated</v>
      </c>
      <c r="L337" s="2">
        <f>COUNTIF($D$2:$D337,D337)</f>
        <v>18</v>
      </c>
      <c r="M337" t="str">
        <f xml:space="preserve"> IF(COUNTIF($I$2:$I1105,I337)&gt;1,"duplicated","original")</f>
        <v>duplicated</v>
      </c>
      <c r="N337" s="2">
        <f>COUNTIF($I$2:$I337,I337)</f>
        <v>16</v>
      </c>
      <c r="O337" s="8">
        <f t="shared" si="20"/>
        <v>2.642800658126824</v>
      </c>
      <c r="P337" s="8">
        <f t="shared" si="21"/>
        <v>2.6879299637912952</v>
      </c>
      <c r="Q337">
        <v>70</v>
      </c>
      <c r="R337" s="9">
        <f t="shared" si="23"/>
        <v>5.0473877522953021E-2</v>
      </c>
      <c r="S337">
        <v>28</v>
      </c>
      <c r="T337" s="9">
        <f t="shared" si="22"/>
        <v>-2.2055817629878085</v>
      </c>
    </row>
    <row r="338" spans="1:20" x14ac:dyDescent="0.25">
      <c r="A338">
        <v>337</v>
      </c>
      <c r="B338">
        <v>0</v>
      </c>
      <c r="C338">
        <v>117</v>
      </c>
      <c r="D338">
        <v>0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>
        <v>0</v>
      </c>
      <c r="K338" t="str">
        <f xml:space="preserve"> IF(COUNTIF($D$2:$D1106,D338)&gt;1,"duplicated","original")</f>
        <v>duplicated</v>
      </c>
      <c r="L338" s="2">
        <f>COUNTIF($D$2:$D338,D338)</f>
        <v>15</v>
      </c>
      <c r="M338" t="str">
        <f xml:space="preserve"> IF(COUNTIF($I$2:$I1106,I338)&gt;1,"duplicated","original")</f>
        <v>duplicated</v>
      </c>
      <c r="N338" s="2">
        <f>COUNTIF($I$2:$I338,I338)</f>
        <v>4</v>
      </c>
      <c r="O338" s="8">
        <f t="shared" si="20"/>
        <v>8.3075631012592623</v>
      </c>
      <c r="P338" s="8">
        <f t="shared" si="21"/>
        <v>3.282534464366357</v>
      </c>
      <c r="Q338">
        <v>70</v>
      </c>
      <c r="R338" s="9">
        <f t="shared" si="23"/>
        <v>5.0473877522953021E-2</v>
      </c>
      <c r="S338">
        <v>28</v>
      </c>
      <c r="T338" s="9">
        <f t="shared" si="22"/>
        <v>-1.2826499100515878</v>
      </c>
    </row>
    <row r="339" spans="1:20" x14ac:dyDescent="0.25">
      <c r="A339">
        <v>338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>
        <v>1</v>
      </c>
      <c r="K339" t="str">
        <f xml:space="preserve"> IF(COUNTIF($D$2:$D1093,$D$3)&gt;1,"duplicated","original")</f>
        <v>duplicated</v>
      </c>
      <c r="L339" s="2">
        <f>COUNTIF($D$2:$D339,D339)</f>
        <v>19</v>
      </c>
      <c r="M339" t="str">
        <f xml:space="preserve"> IF(COUNTIF($I$2:$I1093,I339)&gt;1,"duplicated","original")</f>
        <v>duplicated</v>
      </c>
      <c r="N339" s="2">
        <f>COUNTIF($I$2:$I339,I339)</f>
        <v>5</v>
      </c>
      <c r="O339" s="8">
        <f t="shared" si="20"/>
        <v>2.642800658126824</v>
      </c>
      <c r="P339" s="8">
        <f t="shared" si="21"/>
        <v>3.282534464366357</v>
      </c>
      <c r="Q339">
        <v>70</v>
      </c>
      <c r="R339" s="9">
        <f t="shared" si="23"/>
        <v>5.0473877522953021E-2</v>
      </c>
      <c r="S339">
        <v>28</v>
      </c>
      <c r="T339" s="9">
        <f t="shared" si="22"/>
        <v>-1.2826499100515878</v>
      </c>
    </row>
    <row r="340" spans="1:20" x14ac:dyDescent="0.25">
      <c r="A340">
        <v>339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>
        <v>1</v>
      </c>
      <c r="K340" t="str">
        <f xml:space="preserve"> IF(COUNTIF($D$2:$D1108,D340)&gt;1,"duplicated","original")</f>
        <v>duplicated</v>
      </c>
      <c r="L340" s="2">
        <f>COUNTIF($D$2:$D340,D340)</f>
        <v>16</v>
      </c>
      <c r="M340" t="str">
        <f xml:space="preserve"> IF(COUNTIF($I$2:$I1108,I340)&gt;1,"duplicated","original")</f>
        <v>duplicated</v>
      </c>
      <c r="N340" s="2">
        <f>COUNTIF($I$2:$I340,I340)</f>
        <v>11</v>
      </c>
      <c r="O340" s="8">
        <f t="shared" si="20"/>
        <v>2.9973980914445737</v>
      </c>
      <c r="P340" s="8">
        <f t="shared" si="21"/>
        <v>0.47430737949885876</v>
      </c>
      <c r="Q340">
        <v>70</v>
      </c>
      <c r="R340" s="9">
        <f t="shared" si="23"/>
        <v>5.0473877522953021E-2</v>
      </c>
      <c r="S340">
        <v>28</v>
      </c>
      <c r="T340" s="9">
        <f t="shared" si="22"/>
        <v>-1.8466638201792782</v>
      </c>
    </row>
    <row r="341" spans="1:20" x14ac:dyDescent="0.25">
      <c r="A341">
        <v>340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>
        <v>1</v>
      </c>
      <c r="K341" t="str">
        <f xml:space="preserve"> IF(COUNTIF($D$2:$D1109,D341)&gt;1,"duplicated","original")</f>
        <v>duplicated</v>
      </c>
      <c r="L341" s="2">
        <f>COUNTIF($D$2:$D341,D341)</f>
        <v>12</v>
      </c>
      <c r="M341" t="str">
        <f xml:space="preserve"> IF(COUNTIF($I$2:$I1109,I341)&gt;1,"duplicated","original")</f>
        <v>duplicated</v>
      </c>
      <c r="N341" s="2">
        <f>COUNTIF($I$2:$I341,I341)</f>
        <v>13</v>
      </c>
      <c r="O341" s="8">
        <f t="shared" si="20"/>
        <v>3.8709682662863014</v>
      </c>
      <c r="P341" s="8">
        <f t="shared" si="21"/>
        <v>2.7883745282427403</v>
      </c>
      <c r="Q341">
        <v>70</v>
      </c>
      <c r="R341" s="9">
        <f t="shared" si="23"/>
        <v>5.0473877522953021E-2</v>
      </c>
      <c r="S341">
        <v>28</v>
      </c>
      <c r="T341" s="9">
        <f t="shared" si="22"/>
        <v>-1.4364718855409579</v>
      </c>
    </row>
    <row r="342" spans="1:20" x14ac:dyDescent="0.25">
      <c r="A342">
        <v>341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>
        <v>0</v>
      </c>
      <c r="K342" t="str">
        <f xml:space="preserve"> IF(COUNTIF($D$2:$D1096,$D$3)&gt;1,"duplicated","original")</f>
        <v>duplicated</v>
      </c>
      <c r="L342" s="2">
        <f>COUNTIF($D$2:$D342,D342)</f>
        <v>26</v>
      </c>
      <c r="M342" t="str">
        <f xml:space="preserve"> IF(COUNTIF($I$2:$I1110,I342)&gt;1,"duplicated","original")</f>
        <v>duplicated</v>
      </c>
      <c r="N342" s="2">
        <f>COUNTIF($I$2:$I342,I342)</f>
        <v>27</v>
      </c>
      <c r="O342" s="8">
        <f t="shared" si="20"/>
        <v>0.99216698120607405</v>
      </c>
      <c r="P342" s="8">
        <f t="shared" si="21"/>
        <v>3.3503682618851132</v>
      </c>
      <c r="Q342">
        <v>70</v>
      </c>
      <c r="R342" s="9">
        <f t="shared" si="23"/>
        <v>5.0473877522953021E-2</v>
      </c>
      <c r="S342">
        <v>28</v>
      </c>
      <c r="T342" s="9">
        <f t="shared" si="22"/>
        <v>-2.4106777303069684</v>
      </c>
    </row>
    <row r="343" spans="1:20" x14ac:dyDescent="0.25">
      <c r="A343">
        <v>342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>
        <v>0</v>
      </c>
      <c r="K343" t="str">
        <f xml:space="preserve"> IF(COUNTIF($D$2:$D1111,D343)&gt;1,"duplicated","original")</f>
        <v>duplicated</v>
      </c>
      <c r="L343" s="2">
        <f>COUNTIF($D$2:$D343,D343)</f>
        <v>22</v>
      </c>
      <c r="M343" t="str">
        <f xml:space="preserve"> IF(COUNTIF($I$2:$I1097,I343)&gt;1,"duplicated","original")</f>
        <v>duplicated</v>
      </c>
      <c r="N343" s="2">
        <f>COUNTIF($I$2:$I343,I343)</f>
        <v>10</v>
      </c>
      <c r="O343" s="8">
        <f t="shared" si="20"/>
        <v>2.2325759379236296</v>
      </c>
      <c r="P343" s="8">
        <f t="shared" si="21"/>
        <v>1.6658428826731906</v>
      </c>
      <c r="Q343">
        <v>70</v>
      </c>
      <c r="R343" s="9">
        <f t="shared" si="23"/>
        <v>5.0473877522953021E-2</v>
      </c>
      <c r="S343">
        <v>28</v>
      </c>
      <c r="T343" s="9">
        <f t="shared" si="22"/>
        <v>-1.6928418446899081</v>
      </c>
    </row>
    <row r="344" spans="1:20" x14ac:dyDescent="0.25">
      <c r="A344">
        <v>343</v>
      </c>
      <c r="B344">
        <v>1</v>
      </c>
      <c r="C344">
        <v>0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>
        <v>0</v>
      </c>
      <c r="K344" t="str">
        <f xml:space="preserve"> IF(COUNTIF($D$2:$D1112,D344)&gt;1,"duplicated","original")</f>
        <v>duplicated</v>
      </c>
      <c r="L344" s="2">
        <f>COUNTIF($D$2:$D344,D344)</f>
        <v>22</v>
      </c>
      <c r="M344" t="str">
        <f xml:space="preserve"> IF(COUNTIF($I$2:$I1112,I344)&gt;1,"duplicated","original")</f>
        <v>duplicated</v>
      </c>
      <c r="N344" s="2">
        <f>COUNTIF($I$2:$I344,I344)</f>
        <v>28</v>
      </c>
      <c r="O344" s="8">
        <f t="shared" si="20"/>
        <v>1.0077721376404618</v>
      </c>
      <c r="P344" s="8">
        <f t="shared" si="21"/>
        <v>3.3503682618851132</v>
      </c>
      <c r="Q344">
        <v>70</v>
      </c>
      <c r="R344" s="9">
        <f t="shared" si="23"/>
        <v>5.0473877522953021E-2</v>
      </c>
      <c r="S344">
        <v>28</v>
      </c>
      <c r="T344" s="9">
        <f t="shared" si="22"/>
        <v>-2.4106777303069684</v>
      </c>
    </row>
    <row r="345" spans="1:20" x14ac:dyDescent="0.25">
      <c r="A345">
        <v>344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>
        <v>0</v>
      </c>
      <c r="K345" t="str">
        <f xml:space="preserve"> IF(COUNTIF($D$2:$D1099,$D$3)&gt;1,"duplicated","original")</f>
        <v>duplicated</v>
      </c>
      <c r="L345" s="2">
        <f>COUNTIF($D$2:$D345,D345)</f>
        <v>9</v>
      </c>
      <c r="M345" t="str">
        <f xml:space="preserve"> IF(COUNTIF($I$2:$I1113,I345)&gt;1,"duplicated","original")</f>
        <v>duplicated</v>
      </c>
      <c r="N345" s="2">
        <f>COUNTIF($I$2:$I345,I345)</f>
        <v>12</v>
      </c>
      <c r="O345" s="8">
        <f t="shared" si="20"/>
        <v>4.121212845582666</v>
      </c>
      <c r="P345" s="8">
        <f t="shared" si="21"/>
        <v>0.47430737949885876</v>
      </c>
      <c r="Q345">
        <v>70</v>
      </c>
      <c r="R345" s="9">
        <f t="shared" si="23"/>
        <v>5.0473877522953021E-2</v>
      </c>
      <c r="S345">
        <v>28</v>
      </c>
      <c r="T345" s="9">
        <f t="shared" si="22"/>
        <v>-1.8466638201792782</v>
      </c>
    </row>
    <row r="346" spans="1:20" x14ac:dyDescent="0.25">
      <c r="A346">
        <v>345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>
        <v>0</v>
      </c>
      <c r="K346" t="str">
        <f xml:space="preserve"> IF(COUNTIF($D$2:$D1114,D346)&gt;1,"duplicated","original")</f>
        <v>duplicated</v>
      </c>
      <c r="L346" s="2">
        <f>COUNTIF($D$2:$D346,D346)</f>
        <v>22</v>
      </c>
      <c r="M346" t="str">
        <f xml:space="preserve"> IF(COUNTIF($I$2:$I1114,I346)&gt;1,"duplicated","original")</f>
        <v>duplicated</v>
      </c>
      <c r="N346" s="2">
        <f>COUNTIF($I$2:$I346,I346)</f>
        <v>5</v>
      </c>
      <c r="O346" s="8">
        <f t="shared" si="20"/>
        <v>1.7275402509335562</v>
      </c>
      <c r="P346" s="8">
        <f t="shared" si="21"/>
        <v>4.8759647773289876</v>
      </c>
      <c r="Q346">
        <v>70</v>
      </c>
      <c r="R346" s="9">
        <f t="shared" si="23"/>
        <v>5.0473877522953021E-2</v>
      </c>
      <c r="S346">
        <v>28</v>
      </c>
      <c r="T346" s="9">
        <f t="shared" si="22"/>
        <v>-0.61608801626431742</v>
      </c>
    </row>
    <row r="347" spans="1:20" x14ac:dyDescent="0.25">
      <c r="A347">
        <v>346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>
        <v>0</v>
      </c>
      <c r="K347" t="str">
        <f xml:space="preserve"> IF(COUNTIF($D$2:$D1115,D347)&gt;1,"duplicated","original")</f>
        <v>duplicated</v>
      </c>
      <c r="L347" s="2">
        <f>COUNTIF($D$2:$D347,D347)</f>
        <v>9</v>
      </c>
      <c r="M347" t="str">
        <f xml:space="preserve"> IF(COUNTIF($I$2:$I1101,I347)&gt;1,"duplicated","original")</f>
        <v>duplicated</v>
      </c>
      <c r="N347" s="2">
        <f>COUNTIF($I$2:$I347,I347)</f>
        <v>2</v>
      </c>
      <c r="O347" s="8">
        <f t="shared" si="20"/>
        <v>4.3571085961444176</v>
      </c>
      <c r="P347" s="8">
        <f t="shared" si="21"/>
        <v>3.9717795142420638</v>
      </c>
      <c r="Q347">
        <v>70</v>
      </c>
      <c r="R347" s="9">
        <f t="shared" si="23"/>
        <v>5.0473877522953021E-2</v>
      </c>
      <c r="S347">
        <v>28</v>
      </c>
      <c r="T347" s="9">
        <f t="shared" si="22"/>
        <v>-1.0262799509026377</v>
      </c>
    </row>
    <row r="348" spans="1:20" x14ac:dyDescent="0.25">
      <c r="A348">
        <v>347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>
        <v>0</v>
      </c>
      <c r="K348" t="str">
        <f xml:space="preserve"> IF(COUNTIF($D$2:$D1102,$D$3)&gt;1,"duplicated","original")</f>
        <v>duplicated</v>
      </c>
      <c r="L348" s="2">
        <f>COUNTIF($D$2:$D348,D348)</f>
        <v>1</v>
      </c>
      <c r="M348" t="str">
        <f xml:space="preserve"> IF(COUNTIF($I$2:$I1116,I348)&gt;1,"duplicated","original")</f>
        <v>duplicated</v>
      </c>
      <c r="N348" s="2">
        <f>COUNTIF($I$2:$I348,I348)</f>
        <v>29</v>
      </c>
      <c r="O348" s="8">
        <f t="shared" si="20"/>
        <v>4.7974581479575642</v>
      </c>
      <c r="P348" s="8">
        <f t="shared" si="21"/>
        <v>3.3503682618851132</v>
      </c>
      <c r="Q348">
        <v>70</v>
      </c>
      <c r="R348" s="9">
        <f t="shared" si="23"/>
        <v>5.0473877522953021E-2</v>
      </c>
      <c r="S348">
        <v>28</v>
      </c>
      <c r="T348" s="9">
        <f t="shared" si="22"/>
        <v>-2.4106777303069684</v>
      </c>
    </row>
    <row r="349" spans="1:20" x14ac:dyDescent="0.25">
      <c r="A349">
        <v>348</v>
      </c>
      <c r="B349">
        <v>3</v>
      </c>
      <c r="C349">
        <v>116</v>
      </c>
      <c r="D349">
        <v>0</v>
      </c>
      <c r="E349">
        <v>0</v>
      </c>
      <c r="F349">
        <v>0</v>
      </c>
      <c r="G349">
        <v>23.5</v>
      </c>
      <c r="H349">
        <v>0.187</v>
      </c>
      <c r="I349">
        <v>23</v>
      </c>
      <c r="J349">
        <v>0</v>
      </c>
      <c r="K349" t="str">
        <f xml:space="preserve"> IF(COUNTIF($D$2:$D1117,D349)&gt;1,"duplicated","original")</f>
        <v>duplicated</v>
      </c>
      <c r="L349" s="2">
        <f>COUNTIF($D$2:$D349,D349)</f>
        <v>16</v>
      </c>
      <c r="M349" t="str">
        <f xml:space="preserve"> IF(COUNTIF($I$2:$I1117,I349)&gt;1,"duplicated","original")</f>
        <v>duplicated</v>
      </c>
      <c r="N349" s="2">
        <f>COUNTIF($I$2:$I349,I349)</f>
        <v>19</v>
      </c>
      <c r="O349" s="8">
        <f t="shared" si="20"/>
        <v>8.3075631012592623</v>
      </c>
      <c r="P349" s="8">
        <f t="shared" si="21"/>
        <v>3.1976503076864229</v>
      </c>
      <c r="Q349">
        <v>70</v>
      </c>
      <c r="R349" s="9">
        <f t="shared" si="23"/>
        <v>5.0473877522953021E-2</v>
      </c>
      <c r="S349">
        <v>28</v>
      </c>
      <c r="T349" s="9">
        <f t="shared" si="22"/>
        <v>-2.3594037384771784</v>
      </c>
    </row>
    <row r="350" spans="1:20" x14ac:dyDescent="0.25">
      <c r="A350">
        <v>349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>
        <v>0</v>
      </c>
      <c r="K350" t="str">
        <f xml:space="preserve"> IF(COUNTIF($D$2:$D1118,D350)&gt;1,"duplicated","original")</f>
        <v>duplicated</v>
      </c>
      <c r="L350" s="2">
        <f>COUNTIF($D$2:$D350,D350)</f>
        <v>15</v>
      </c>
      <c r="M350" t="str">
        <f xml:space="preserve"> IF(COUNTIF($I$2:$I1118,I350)&gt;1,"duplicated","original")</f>
        <v>duplicated</v>
      </c>
      <c r="N350" s="2">
        <f>COUNTIF($I$2:$I350,I350)</f>
        <v>17</v>
      </c>
      <c r="O350" s="8">
        <f t="shared" si="20"/>
        <v>2.648698676974115</v>
      </c>
      <c r="P350" s="8">
        <f t="shared" si="21"/>
        <v>2.6879299637912952</v>
      </c>
      <c r="Q350">
        <v>70</v>
      </c>
      <c r="R350" s="9">
        <f t="shared" si="23"/>
        <v>5.0473877522953021E-2</v>
      </c>
      <c r="S350">
        <v>28</v>
      </c>
      <c r="T350" s="9">
        <f t="shared" si="22"/>
        <v>-2.2055817629878085</v>
      </c>
    </row>
    <row r="351" spans="1:20" x14ac:dyDescent="0.25">
      <c r="A351">
        <v>350</v>
      </c>
      <c r="B351">
        <v>5</v>
      </c>
      <c r="C351">
        <v>0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>
        <v>1</v>
      </c>
      <c r="K351" t="str">
        <f xml:space="preserve"> IF(COUNTIF($D$2:$D1105,$D$3)&gt;1,"duplicated","original")</f>
        <v>duplicated</v>
      </c>
      <c r="L351" s="2">
        <f>COUNTIF($D$2:$D351,D351)</f>
        <v>21</v>
      </c>
      <c r="M351" t="str">
        <f xml:space="preserve"> IF(COUNTIF($I$2:$I1105,I351)&gt;1,"duplicated","original")</f>
        <v>duplicated</v>
      </c>
      <c r="N351" s="2">
        <f>COUNTIF($I$2:$I351,I351)</f>
        <v>11</v>
      </c>
      <c r="O351" s="8">
        <f t="shared" si="20"/>
        <v>3.3142714612106796</v>
      </c>
      <c r="P351" s="8">
        <f t="shared" si="21"/>
        <v>1.9429442888958308</v>
      </c>
      <c r="Q351">
        <v>70</v>
      </c>
      <c r="R351" s="9">
        <f t="shared" si="23"/>
        <v>5.0473877522953021E-2</v>
      </c>
      <c r="S351">
        <v>28</v>
      </c>
      <c r="T351" s="9">
        <f t="shared" si="22"/>
        <v>-1.6415678528601181</v>
      </c>
    </row>
    <row r="352" spans="1:20" x14ac:dyDescent="0.25">
      <c r="A352">
        <v>351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>
        <v>0</v>
      </c>
      <c r="K352" t="str">
        <f xml:space="preserve"> IF(COUNTIF($D$2:$D1120,D352)&gt;1,"duplicated","original")</f>
        <v>duplicated</v>
      </c>
      <c r="L352" s="2">
        <f>COUNTIF($D$2:$D352,D352)</f>
        <v>22</v>
      </c>
      <c r="M352" t="str">
        <f xml:space="preserve"> IF(COUNTIF($I$2:$I1120,I352)&gt;1,"duplicated","original")</f>
        <v>duplicated</v>
      </c>
      <c r="N352" s="2">
        <f>COUNTIF($I$2:$I352,I352)</f>
        <v>17</v>
      </c>
      <c r="O352" s="8">
        <f t="shared" si="20"/>
        <v>3.3142714612106796</v>
      </c>
      <c r="P352" s="8">
        <f t="shared" si="21"/>
        <v>2.0554725710276638</v>
      </c>
      <c r="Q352">
        <v>70</v>
      </c>
      <c r="R352" s="9">
        <f t="shared" si="23"/>
        <v>5.0473877522953021E-2</v>
      </c>
      <c r="S352">
        <v>28</v>
      </c>
      <c r="T352" s="9">
        <f t="shared" si="22"/>
        <v>-2.0517597874984381</v>
      </c>
    </row>
    <row r="353" spans="1:20" x14ac:dyDescent="0.25">
      <c r="A353">
        <v>352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>
        <v>0</v>
      </c>
      <c r="K353" t="str">
        <f xml:space="preserve"> IF(COUNTIF($D$2:$D1121,D353)&gt;1,"duplicated","original")</f>
        <v>duplicated</v>
      </c>
      <c r="L353" s="2">
        <f>COUNTIF($D$2:$D353,D353)</f>
        <v>13</v>
      </c>
      <c r="M353" t="str">
        <f xml:space="preserve"> IF(COUNTIF($I$2:$I1121,I353)&gt;1,"duplicated","original")</f>
        <v>duplicated</v>
      </c>
      <c r="N353" s="2">
        <f>COUNTIF($I$2:$I353,I353)</f>
        <v>11</v>
      </c>
      <c r="O353" s="8">
        <f t="shared" si="20"/>
        <v>3.8709682662863014</v>
      </c>
      <c r="P353" s="8">
        <f t="shared" si="21"/>
        <v>1.7958194481202931</v>
      </c>
      <c r="Q353">
        <v>70</v>
      </c>
      <c r="R353" s="9">
        <f t="shared" si="23"/>
        <v>5.0473877522953021E-2</v>
      </c>
      <c r="S353">
        <v>28</v>
      </c>
      <c r="T353" s="9">
        <f t="shared" si="22"/>
        <v>-2.0004857956686481</v>
      </c>
    </row>
    <row r="354" spans="1:20" x14ac:dyDescent="0.25">
      <c r="A354">
        <v>353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>
        <v>0</v>
      </c>
      <c r="K354" t="str">
        <f xml:space="preserve"> IF(COUNTIF($D$2:$D1108,$D$3)&gt;1,"duplicated","original")</f>
        <v>duplicated</v>
      </c>
      <c r="L354" s="2">
        <f>COUNTIF($D$2:$D354,D354)</f>
        <v>11</v>
      </c>
      <c r="M354" t="str">
        <f xml:space="preserve"> IF(COUNTIF($I$2:$I1122,I354)&gt;1,"duplicated","original")</f>
        <v>duplicated</v>
      </c>
      <c r="N354" s="2">
        <f>COUNTIF($I$2:$I354,I354)</f>
        <v>6</v>
      </c>
      <c r="O354" s="8">
        <f t="shared" si="20"/>
        <v>3.6033866457258754</v>
      </c>
      <c r="P354" s="8">
        <f t="shared" si="21"/>
        <v>3.5742177479489028</v>
      </c>
      <c r="Q354">
        <v>70</v>
      </c>
      <c r="R354" s="9">
        <f t="shared" si="23"/>
        <v>5.0473877522953021E-2</v>
      </c>
      <c r="S354">
        <v>28</v>
      </c>
      <c r="T354" s="9">
        <f t="shared" si="22"/>
        <v>-1.1801019263920078</v>
      </c>
    </row>
    <row r="355" spans="1:20" x14ac:dyDescent="0.25">
      <c r="A355">
        <v>354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>
        <v>0</v>
      </c>
      <c r="K355" t="str">
        <f xml:space="preserve"> IF(COUNTIF($D$2:$D1123,D355)&gt;1,"duplicated","original")</f>
        <v>duplicated</v>
      </c>
      <c r="L355" s="2">
        <f>COUNTIF($D$2:$D355,D355)</f>
        <v>16</v>
      </c>
      <c r="M355" t="str">
        <f xml:space="preserve"> IF(COUNTIF($I$2:$I1109,I355)&gt;1,"duplicated","original")</f>
        <v>duplicated</v>
      </c>
      <c r="N355" s="2">
        <f>COUNTIF($I$2:$I355,I355)</f>
        <v>22</v>
      </c>
      <c r="O355" s="8">
        <f t="shared" si="20"/>
        <v>2.648698676974115</v>
      </c>
      <c r="P355" s="8">
        <f t="shared" si="21"/>
        <v>3.0372631578852487</v>
      </c>
      <c r="Q355">
        <v>70</v>
      </c>
      <c r="R355" s="9">
        <f t="shared" si="23"/>
        <v>5.0473877522953021E-2</v>
      </c>
      <c r="S355">
        <v>28</v>
      </c>
      <c r="T355" s="9">
        <f t="shared" si="22"/>
        <v>-2.3081297466473885</v>
      </c>
    </row>
    <row r="356" spans="1:20" x14ac:dyDescent="0.25">
      <c r="A356">
        <v>355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>
        <v>0</v>
      </c>
      <c r="K356" t="str">
        <f xml:space="preserve"> IF(COUNTIF($D$2:$D1124,D356)&gt;1,"duplicated","original")</f>
        <v>duplicated</v>
      </c>
      <c r="L356" s="2">
        <f>COUNTIF($D$2:$D356,D356)</f>
        <v>17</v>
      </c>
      <c r="M356" t="str">
        <f xml:space="preserve"> IF(COUNTIF($I$2:$I1124,I356)&gt;1,"duplicated","original")</f>
        <v>duplicated</v>
      </c>
      <c r="N356" s="2">
        <f>COUNTIF($I$2:$I356,I356)</f>
        <v>27</v>
      </c>
      <c r="O356" s="8">
        <f t="shared" si="20"/>
        <v>2.9973980914445737</v>
      </c>
      <c r="P356" s="8">
        <f t="shared" si="21"/>
        <v>3.4964220984096119</v>
      </c>
      <c r="Q356">
        <v>70</v>
      </c>
      <c r="R356" s="9">
        <f t="shared" si="23"/>
        <v>5.0473877522953021E-2</v>
      </c>
      <c r="S356">
        <v>28</v>
      </c>
      <c r="T356" s="9">
        <f t="shared" si="22"/>
        <v>-2.4619517221367584</v>
      </c>
    </row>
    <row r="357" spans="1:20" x14ac:dyDescent="0.25">
      <c r="A357">
        <v>356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>
        <v>1</v>
      </c>
      <c r="K357" t="str">
        <f xml:space="preserve"> IF(COUNTIF($D$2:$D1111,$D$3)&gt;1,"duplicated","original")</f>
        <v>duplicated</v>
      </c>
      <c r="L357" s="2">
        <f>COUNTIF($D$2:$D357,D357)</f>
        <v>10</v>
      </c>
      <c r="M357" t="str">
        <f xml:space="preserve"> IF(COUNTIF($I$2:$I1125,I357)&gt;1,"duplicated","original")</f>
        <v>duplicated</v>
      </c>
      <c r="N357" s="2">
        <f>COUNTIF($I$2:$I357,I357)</f>
        <v>3</v>
      </c>
      <c r="O357" s="8">
        <f t="shared" si="20"/>
        <v>4.3571085961444176</v>
      </c>
      <c r="P357" s="8">
        <f t="shared" si="21"/>
        <v>3.9717795142420638</v>
      </c>
      <c r="Q357">
        <v>70</v>
      </c>
      <c r="R357" s="9">
        <f t="shared" si="23"/>
        <v>5.0473877522953021E-2</v>
      </c>
      <c r="S357">
        <v>28</v>
      </c>
      <c r="T357" s="9">
        <f t="shared" si="22"/>
        <v>-1.0262799509026377</v>
      </c>
    </row>
    <row r="358" spans="1:20" x14ac:dyDescent="0.25">
      <c r="A358">
        <v>357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>
        <v>1</v>
      </c>
      <c r="K358" t="str">
        <f xml:space="preserve"> IF(COUNTIF($D$2:$D1126,D358)&gt;1,"duplicated","original")</f>
        <v>duplicated</v>
      </c>
      <c r="L358" s="2">
        <f>COUNTIF($D$2:$D358,D358)</f>
        <v>9</v>
      </c>
      <c r="M358" t="str">
        <f xml:space="preserve"> IF(COUNTIF($I$2:$I1126,I358)&gt;1,"duplicated","original")</f>
        <v>duplicated</v>
      </c>
      <c r="N358" s="2">
        <f>COUNTIF($I$2:$I358,I358)</f>
        <v>11</v>
      </c>
      <c r="O358" s="8">
        <f t="shared" si="20"/>
        <v>4.3606885558824793</v>
      </c>
      <c r="P358" s="8">
        <f t="shared" si="21"/>
        <v>2.2858187789601945</v>
      </c>
      <c r="Q358">
        <v>70</v>
      </c>
      <c r="R358" s="9">
        <f t="shared" si="23"/>
        <v>5.0473877522953021E-2</v>
      </c>
      <c r="S358">
        <v>28</v>
      </c>
      <c r="T358" s="9">
        <f t="shared" si="22"/>
        <v>-2.1030337793282281</v>
      </c>
    </row>
    <row r="359" spans="1:20" x14ac:dyDescent="0.25">
      <c r="A359">
        <v>358</v>
      </c>
      <c r="B359">
        <v>13</v>
      </c>
      <c r="C359">
        <v>129</v>
      </c>
      <c r="D359">
        <v>0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>
        <v>1</v>
      </c>
      <c r="K359" t="str">
        <f xml:space="preserve"> IF(COUNTIF($D$2:$D1127,D359)&gt;1,"duplicated","original")</f>
        <v>duplicated</v>
      </c>
      <c r="L359" s="2">
        <f>COUNTIF($D$2:$D359,D359)</f>
        <v>17</v>
      </c>
      <c r="M359" t="str">
        <f xml:space="preserve"> IF(COUNTIF($I$2:$I1113,I359)&gt;1,"duplicated","original")</f>
        <v>duplicated</v>
      </c>
      <c r="N359" s="2">
        <f>COUNTIF($I$2:$I359,I359)</f>
        <v>6</v>
      </c>
      <c r="O359" s="8">
        <f t="shared" si="20"/>
        <v>8.3075631012592623</v>
      </c>
      <c r="P359" s="8">
        <f t="shared" si="21"/>
        <v>3.282534464366357</v>
      </c>
      <c r="Q359">
        <v>70</v>
      </c>
      <c r="R359" s="9">
        <f t="shared" si="23"/>
        <v>5.0473877522953021E-2</v>
      </c>
      <c r="S359">
        <v>28</v>
      </c>
      <c r="T359" s="9">
        <f t="shared" si="22"/>
        <v>-1.2826499100515878</v>
      </c>
    </row>
    <row r="360" spans="1:20" x14ac:dyDescent="0.25">
      <c r="A360">
        <v>359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>
        <v>0</v>
      </c>
      <c r="K360" t="str">
        <f xml:space="preserve"> IF(COUNTIF($D$2:$D1114,$D$3)&gt;1,"duplicated","original")</f>
        <v>duplicated</v>
      </c>
      <c r="L360" s="2">
        <f>COUNTIF($D$2:$D360,D360)</f>
        <v>23</v>
      </c>
      <c r="M360" t="str">
        <f xml:space="preserve"> IF(COUNTIF($I$2:$I1128,I360)&gt;1,"duplicated","original")</f>
        <v>duplicated</v>
      </c>
      <c r="N360" s="2">
        <f>COUNTIF($I$2:$I360,I360)</f>
        <v>2</v>
      </c>
      <c r="O360" s="8">
        <f t="shared" si="20"/>
        <v>2.2325759379236296</v>
      </c>
      <c r="P360" s="8">
        <f t="shared" si="21"/>
        <v>3.8438304475812828</v>
      </c>
      <c r="Q360">
        <v>70</v>
      </c>
      <c r="R360" s="9">
        <f t="shared" si="23"/>
        <v>5.0473877522953021E-2</v>
      </c>
      <c r="S360">
        <v>28</v>
      </c>
      <c r="T360" s="9">
        <f t="shared" si="22"/>
        <v>-1.0775539427324277</v>
      </c>
    </row>
    <row r="361" spans="1:20" x14ac:dyDescent="0.25">
      <c r="A361">
        <v>360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>
        <v>1</v>
      </c>
      <c r="K361" t="str">
        <f xml:space="preserve"> IF(COUNTIF($D$2:$D1129,D361)&gt;1,"duplicated","original")</f>
        <v>duplicated</v>
      </c>
      <c r="L361" s="2">
        <f>COUNTIF($D$2:$D361,D361)</f>
        <v>20</v>
      </c>
      <c r="M361" t="str">
        <f xml:space="preserve"> IF(COUNTIF($I$2:$I1129,I361)&gt;1,"duplicated","original")</f>
        <v>duplicated</v>
      </c>
      <c r="N361" s="2">
        <f>COUNTIF($I$2:$I361,I361)</f>
        <v>18</v>
      </c>
      <c r="O361" s="8">
        <f t="shared" si="20"/>
        <v>2.642800658126824</v>
      </c>
      <c r="P361" s="8">
        <f t="shared" si="21"/>
        <v>2.0554725710276638</v>
      </c>
      <c r="Q361">
        <v>70</v>
      </c>
      <c r="R361" s="9">
        <f t="shared" si="23"/>
        <v>5.0473877522953021E-2</v>
      </c>
      <c r="S361">
        <v>28</v>
      </c>
      <c r="T361" s="9">
        <f t="shared" si="22"/>
        <v>-2.0517597874984381</v>
      </c>
    </row>
    <row r="362" spans="1:20" x14ac:dyDescent="0.25">
      <c r="A362">
        <v>361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>
        <v>1</v>
      </c>
      <c r="K362" t="str">
        <f xml:space="preserve"> IF(COUNTIF($D$2:$D1130,D362)&gt;1,"duplicated","original")</f>
        <v>duplicated</v>
      </c>
      <c r="L362" s="2">
        <f>COUNTIF($D$2:$D362,D362)</f>
        <v>19</v>
      </c>
      <c r="M362" t="str">
        <f xml:space="preserve"> IF(COUNTIF($I$2:$I1130,I362)&gt;1,"duplicated","original")</f>
        <v>duplicated</v>
      </c>
      <c r="N362" s="2">
        <f>COUNTIF($I$2:$I362,I362)</f>
        <v>19</v>
      </c>
      <c r="O362" s="8">
        <f t="shared" si="20"/>
        <v>2.2395545720978594</v>
      </c>
      <c r="P362" s="8">
        <f t="shared" si="21"/>
        <v>2.0554725710276638</v>
      </c>
      <c r="Q362">
        <v>70</v>
      </c>
      <c r="R362" s="9">
        <f t="shared" si="23"/>
        <v>5.0473877522953021E-2</v>
      </c>
      <c r="S362">
        <v>28</v>
      </c>
      <c r="T362" s="9">
        <f t="shared" si="22"/>
        <v>-2.0517597874984381</v>
      </c>
    </row>
    <row r="363" spans="1:20" x14ac:dyDescent="0.25">
      <c r="A363">
        <v>362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>
        <v>0</v>
      </c>
      <c r="K363" t="str">
        <f xml:space="preserve"> IF(COUNTIF($D$2:$D1117,$D$3)&gt;1,"duplicated","original")</f>
        <v>duplicated</v>
      </c>
      <c r="L363" s="2">
        <f>COUNTIF($D$2:$D363,D363)</f>
        <v>27</v>
      </c>
      <c r="M363" t="str">
        <f xml:space="preserve"> IF(COUNTIF($I$2:$I1117,I363)&gt;1,"duplicated","original")</f>
        <v>duplicated</v>
      </c>
      <c r="N363" s="2">
        <f>COUNTIF($I$2:$I363,I363)</f>
        <v>2</v>
      </c>
      <c r="O363" s="8">
        <f t="shared" si="20"/>
        <v>0.99216698120607405</v>
      </c>
      <c r="P363" s="8">
        <f t="shared" si="21"/>
        <v>5.4566503012152907</v>
      </c>
      <c r="Q363">
        <v>70</v>
      </c>
      <c r="R363" s="9">
        <f t="shared" si="23"/>
        <v>5.0473877522953021E-2</v>
      </c>
      <c r="S363">
        <v>28</v>
      </c>
      <c r="T363" s="9">
        <f t="shared" si="22"/>
        <v>-0.30844406528557722</v>
      </c>
    </row>
    <row r="364" spans="1:20" x14ac:dyDescent="0.25">
      <c r="A364">
        <v>363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>
        <v>0</v>
      </c>
      <c r="K364" t="str">
        <f xml:space="preserve"> IF(COUNTIF($D$2:$D1132,D364)&gt;1,"duplicated","original")</f>
        <v>duplicated</v>
      </c>
      <c r="L364" s="2">
        <f>COUNTIF($D$2:$D364,D364)</f>
        <v>2</v>
      </c>
      <c r="M364" t="str">
        <f xml:space="preserve"> IF(COUNTIF($I$2:$I1132,I364)&gt;1,"duplicated","original")</f>
        <v>duplicated</v>
      </c>
      <c r="N364" s="2">
        <f>COUNTIF($I$2:$I364,I364)</f>
        <v>3</v>
      </c>
      <c r="O364" s="8">
        <f t="shared" si="20"/>
        <v>6.2437484989864522</v>
      </c>
      <c r="P364" s="8">
        <f t="shared" si="21"/>
        <v>5.6369346731847907</v>
      </c>
      <c r="Q364">
        <v>70</v>
      </c>
      <c r="R364" s="9">
        <f t="shared" si="23"/>
        <v>5.0473877522953021E-2</v>
      </c>
      <c r="S364">
        <v>28</v>
      </c>
      <c r="T364" s="9">
        <f t="shared" si="22"/>
        <v>-0.20589608162599715</v>
      </c>
    </row>
    <row r="365" spans="1:20" x14ac:dyDescent="0.25">
      <c r="A365">
        <v>364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>
        <v>1</v>
      </c>
      <c r="K365" t="str">
        <f xml:space="preserve"> IF(COUNTIF($D$2:$D1133,D365)&gt;1,"duplicated","original")</f>
        <v>duplicated</v>
      </c>
      <c r="L365" s="2">
        <f>COUNTIF($D$2:$D365,D365)</f>
        <v>18</v>
      </c>
      <c r="M365" t="str">
        <f xml:space="preserve"> IF(COUNTIF($I$2:$I1133,I365)&gt;1,"duplicated","original")</f>
        <v>duplicated</v>
      </c>
      <c r="N365" s="2">
        <f>COUNTIF($I$2:$I365,I365)</f>
        <v>1</v>
      </c>
      <c r="O365" s="8">
        <f t="shared" si="20"/>
        <v>2.9973980914445737</v>
      </c>
      <c r="P365" s="8">
        <f t="shared" si="21"/>
        <v>5.8116290753757616</v>
      </c>
      <c r="Q365">
        <v>70</v>
      </c>
      <c r="R365" s="9">
        <f t="shared" si="23"/>
        <v>5.0473877522953021E-2</v>
      </c>
      <c r="S365">
        <v>28</v>
      </c>
      <c r="T365" s="9">
        <f t="shared" si="22"/>
        <v>-0.10334809796641707</v>
      </c>
    </row>
    <row r="366" spans="1:20" x14ac:dyDescent="0.25">
      <c r="A366">
        <v>365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>
        <v>0</v>
      </c>
      <c r="K366" t="str">
        <f xml:space="preserve"> IF(COUNTIF($D$2:$D1120,$D$3)&gt;1,"duplicated","original")</f>
        <v>duplicated</v>
      </c>
      <c r="L366" s="2">
        <f>COUNTIF($D$2:$D366,D366)</f>
        <v>24</v>
      </c>
      <c r="M366" t="str">
        <f xml:space="preserve"> IF(COUNTIF($I$2:$I1134,I366)&gt;1,"duplicated","original")</f>
        <v>duplicated</v>
      </c>
      <c r="N366" s="2">
        <f>COUNTIF($I$2:$I366,I366)</f>
        <v>12</v>
      </c>
      <c r="O366" s="8">
        <f t="shared" si="20"/>
        <v>2.2325759379236296</v>
      </c>
      <c r="P366" s="8">
        <f t="shared" si="21"/>
        <v>1.7958194481202931</v>
      </c>
      <c r="Q366">
        <v>70</v>
      </c>
      <c r="R366" s="9">
        <f t="shared" si="23"/>
        <v>5.0473877522953021E-2</v>
      </c>
      <c r="S366">
        <v>28</v>
      </c>
      <c r="T366" s="9">
        <f t="shared" si="22"/>
        <v>-2.0004857956686481</v>
      </c>
    </row>
    <row r="367" spans="1:20" x14ac:dyDescent="0.25">
      <c r="A367">
        <v>366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>
        <v>0</v>
      </c>
      <c r="K367" t="str">
        <f xml:space="preserve"> IF(COUNTIF($D$2:$D1135,D367)&gt;1,"duplicated","original")</f>
        <v>duplicated</v>
      </c>
      <c r="L367" s="2">
        <f>COUNTIF($D$2:$D367,D367)</f>
        <v>3</v>
      </c>
      <c r="M367" t="str">
        <f xml:space="preserve"> IF(COUNTIF($I$2:$I1121,I367)&gt;1,"duplicated","original")</f>
        <v>duplicated</v>
      </c>
      <c r="N367" s="2">
        <f>COUNTIF($I$2:$I367,I367)</f>
        <v>13</v>
      </c>
      <c r="O367" s="8">
        <f t="shared" si="20"/>
        <v>3.8749973782448452</v>
      </c>
      <c r="P367" s="8">
        <f t="shared" si="21"/>
        <v>1.7958194481202931</v>
      </c>
      <c r="Q367">
        <v>70</v>
      </c>
      <c r="R367" s="9">
        <f t="shared" si="23"/>
        <v>5.0473877522953021E-2</v>
      </c>
      <c r="S367">
        <v>28</v>
      </c>
      <c r="T367" s="9">
        <f t="shared" si="22"/>
        <v>-2.0004857956686481</v>
      </c>
    </row>
    <row r="368" spans="1:20" x14ac:dyDescent="0.25">
      <c r="A368">
        <v>367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>
        <v>1</v>
      </c>
      <c r="K368" t="str">
        <f xml:space="preserve"> IF(COUNTIF($D$2:$D1136,D368)&gt;1,"duplicated","original")</f>
        <v>duplicated</v>
      </c>
      <c r="L368" s="2">
        <f>COUNTIF($D$2:$D368,D368)</f>
        <v>23</v>
      </c>
      <c r="M368" t="str">
        <f xml:space="preserve"> IF(COUNTIF($I$2:$I1136,I368)&gt;1,"duplicated","original")</f>
        <v>duplicated</v>
      </c>
      <c r="N368" s="2">
        <f>COUNTIF($I$2:$I368,I368)</f>
        <v>20</v>
      </c>
      <c r="O368" s="8">
        <f t="shared" si="20"/>
        <v>1.7275402509335562</v>
      </c>
      <c r="P368" s="8">
        <f t="shared" si="21"/>
        <v>2.0554725710276638</v>
      </c>
      <c r="Q368">
        <v>70</v>
      </c>
      <c r="R368" s="9">
        <f t="shared" si="23"/>
        <v>5.0473877522953021E-2</v>
      </c>
      <c r="S368">
        <v>28</v>
      </c>
      <c r="T368" s="9">
        <f t="shared" si="22"/>
        <v>-2.0517597874984381</v>
      </c>
    </row>
    <row r="369" spans="1:20" x14ac:dyDescent="0.25">
      <c r="A369">
        <v>368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>
        <v>0</v>
      </c>
      <c r="K369" t="str">
        <f xml:space="preserve"> IF(COUNTIF($D$2:$D1123,$D$3)&gt;1,"duplicated","original")</f>
        <v>duplicated</v>
      </c>
      <c r="L369" s="2">
        <f>COUNTIF($D$2:$D369,D369)</f>
        <v>20</v>
      </c>
      <c r="M369" t="str">
        <f xml:space="preserve"> IF(COUNTIF($I$2:$I1137,I369)&gt;1,"duplicated","original")</f>
        <v>duplicated</v>
      </c>
      <c r="N369" s="2">
        <f>COUNTIF($I$2:$I369,I369)</f>
        <v>28</v>
      </c>
      <c r="O369" s="8">
        <f t="shared" si="20"/>
        <v>2.2395545720978594</v>
      </c>
      <c r="P369" s="8">
        <f t="shared" si="21"/>
        <v>3.4964220984096119</v>
      </c>
      <c r="Q369">
        <v>70</v>
      </c>
      <c r="R369" s="9">
        <f t="shared" si="23"/>
        <v>5.0473877522953021E-2</v>
      </c>
      <c r="S369">
        <v>28</v>
      </c>
      <c r="T369" s="9">
        <f t="shared" si="22"/>
        <v>-2.4619517221367584</v>
      </c>
    </row>
    <row r="370" spans="1:20" x14ac:dyDescent="0.25">
      <c r="A370">
        <v>369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>
        <v>0</v>
      </c>
      <c r="K370" t="str">
        <f xml:space="preserve"> IF(COUNTIF($D$2:$D1138,D370)&gt;1,"duplicated","original")</f>
        <v>duplicated</v>
      </c>
      <c r="L370" s="2">
        <f>COUNTIF($D$2:$D370,D370)</f>
        <v>10</v>
      </c>
      <c r="M370" t="str">
        <f xml:space="preserve"> IF(COUNTIF($I$2:$I1138,I370)&gt;1,"duplicated","original")</f>
        <v>duplicated</v>
      </c>
      <c r="N370" s="2">
        <f>COUNTIF($I$2:$I370,I370)</f>
        <v>30</v>
      </c>
      <c r="O370" s="8">
        <f t="shared" si="20"/>
        <v>4.121212845582666</v>
      </c>
      <c r="P370" s="8">
        <f t="shared" si="21"/>
        <v>3.3503682618851132</v>
      </c>
      <c r="Q370">
        <v>70</v>
      </c>
      <c r="R370" s="9">
        <f t="shared" si="23"/>
        <v>5.0473877522953021E-2</v>
      </c>
      <c r="S370">
        <v>29</v>
      </c>
      <c r="T370" s="9">
        <f t="shared" si="22"/>
        <v>-2.4106777303069684</v>
      </c>
    </row>
    <row r="371" spans="1:20" x14ac:dyDescent="0.25">
      <c r="A371">
        <v>370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>
        <v>1</v>
      </c>
      <c r="K371" t="str">
        <f xml:space="preserve"> IF(COUNTIF($D$2:$D1139,D371)&gt;1,"duplicated","original")</f>
        <v>original</v>
      </c>
      <c r="L371" s="2">
        <f>COUNTIF($D$2:$D371,D371)</f>
        <v>1</v>
      </c>
      <c r="M371" t="str">
        <f xml:space="preserve"> IF(COUNTIF($I$2:$I1125,I371)&gt;1,"duplicated","original")</f>
        <v>duplicated</v>
      </c>
      <c r="N371" s="2">
        <f>COUNTIF($I$2:$I371,I371)</f>
        <v>4</v>
      </c>
      <c r="O371" s="8">
        <f t="shared" si="20"/>
        <v>5.7432042727553734</v>
      </c>
      <c r="P371" s="8">
        <f t="shared" si="21"/>
        <v>3.4314767243495803</v>
      </c>
      <c r="Q371">
        <v>70</v>
      </c>
      <c r="R371" s="9">
        <f t="shared" si="23"/>
        <v>5.0473877522953021E-2</v>
      </c>
      <c r="S371">
        <v>29</v>
      </c>
      <c r="T371" s="9">
        <f t="shared" si="22"/>
        <v>-1.2313759182217978</v>
      </c>
    </row>
    <row r="372" spans="1:20" x14ac:dyDescent="0.25">
      <c r="A372">
        <v>371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>
        <v>1</v>
      </c>
      <c r="K372" t="str">
        <f xml:space="preserve"> IF(COUNTIF($D$2:$D1126,$D$3)&gt;1,"duplicated","original")</f>
        <v>duplicated</v>
      </c>
      <c r="L372" s="2">
        <f>COUNTIF($D$2:$D372,D372)</f>
        <v>12</v>
      </c>
      <c r="M372" t="str">
        <f xml:space="preserve"> IF(COUNTIF($I$2:$I1140,I372)&gt;1,"duplicated","original")</f>
        <v>duplicated</v>
      </c>
      <c r="N372" s="2">
        <f>COUNTIF($I$2:$I372,I372)</f>
        <v>21</v>
      </c>
      <c r="O372" s="8">
        <f t="shared" si="20"/>
        <v>3.6033866457258754</v>
      </c>
      <c r="P372" s="8">
        <f t="shared" si="21"/>
        <v>2.8679204121186967</v>
      </c>
      <c r="Q372">
        <v>70</v>
      </c>
      <c r="R372" s="9">
        <f t="shared" si="23"/>
        <v>5.0473877522953021E-2</v>
      </c>
      <c r="S372">
        <v>29</v>
      </c>
      <c r="T372" s="9">
        <f t="shared" si="22"/>
        <v>-2.2568557548175985</v>
      </c>
    </row>
    <row r="373" spans="1:20" x14ac:dyDescent="0.25">
      <c r="A373">
        <v>372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0</v>
      </c>
      <c r="H373">
        <v>1.7310000000000001</v>
      </c>
      <c r="I373">
        <v>21</v>
      </c>
      <c r="J373">
        <v>0</v>
      </c>
      <c r="K373" t="str">
        <f xml:space="preserve"> IF(COUNTIF($D$2:$D1141,D373)&gt;1,"duplicated","original")</f>
        <v>duplicated</v>
      </c>
      <c r="L373" s="2">
        <f>COUNTIF($D$2:$D373,D373)</f>
        <v>21</v>
      </c>
      <c r="M373" t="str">
        <f xml:space="preserve"> IF(COUNTIF($I$2:$I1141,I373)&gt;1,"duplicated","original")</f>
        <v>duplicated</v>
      </c>
      <c r="N373" s="2">
        <f>COUNTIF($I$2:$I373,I373)</f>
        <v>29</v>
      </c>
      <c r="O373" s="8">
        <f t="shared" si="20"/>
        <v>2.2395545720978594</v>
      </c>
      <c r="P373" s="8">
        <f t="shared" si="21"/>
        <v>3.4964220984096119</v>
      </c>
      <c r="Q373">
        <v>70</v>
      </c>
      <c r="R373" s="9">
        <f t="shared" si="23"/>
        <v>5.0473877522953021E-2</v>
      </c>
      <c r="S373">
        <v>29</v>
      </c>
      <c r="T373" s="9">
        <f t="shared" si="22"/>
        <v>-2.4619517221367584</v>
      </c>
    </row>
    <row r="374" spans="1:20" x14ac:dyDescent="0.25">
      <c r="A374">
        <v>373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>
        <v>0</v>
      </c>
      <c r="K374" t="str">
        <f xml:space="preserve"> IF(COUNTIF($D$2:$D1142,D374)&gt;1,"duplicated","original")</f>
        <v>duplicated</v>
      </c>
      <c r="L374" s="2">
        <f>COUNTIF($D$2:$D374,D374)</f>
        <v>22</v>
      </c>
      <c r="M374" t="str">
        <f xml:space="preserve"> IF(COUNTIF($I$2:$I1142,I374)&gt;1,"duplicated","original")</f>
        <v>duplicated</v>
      </c>
      <c r="N374" s="2">
        <f>COUNTIF($I$2:$I374,I374)</f>
        <v>30</v>
      </c>
      <c r="O374" s="8">
        <f t="shared" si="20"/>
        <v>2.2395545720978594</v>
      </c>
      <c r="P374" s="8">
        <f t="shared" si="21"/>
        <v>3.4964220984096119</v>
      </c>
      <c r="Q374">
        <v>70</v>
      </c>
      <c r="R374" s="9">
        <f t="shared" si="23"/>
        <v>5.0473877522953021E-2</v>
      </c>
      <c r="S374">
        <v>29</v>
      </c>
      <c r="T374" s="9">
        <f t="shared" si="22"/>
        <v>-2.4619517221367584</v>
      </c>
    </row>
    <row r="375" spans="1:20" x14ac:dyDescent="0.25">
      <c r="A375">
        <v>374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>
        <v>0</v>
      </c>
      <c r="K375" t="str">
        <f xml:space="preserve"> IF(COUNTIF($D$2:$D1129,$D$3)&gt;1,"duplicated","original")</f>
        <v>duplicated</v>
      </c>
      <c r="L375" s="2">
        <f>COUNTIF($D$2:$D375,D375)</f>
        <v>9</v>
      </c>
      <c r="M375" t="str">
        <f xml:space="preserve"> IF(COUNTIF($I$2:$I1129,I375)&gt;1,"duplicated","original")</f>
        <v>duplicated</v>
      </c>
      <c r="N375" s="2">
        <f>COUNTIF($I$2:$I375,I375)</f>
        <v>22</v>
      </c>
      <c r="O375" s="8">
        <f t="shared" si="20"/>
        <v>3.3189764508662045</v>
      </c>
      <c r="P375" s="8">
        <f t="shared" si="21"/>
        <v>2.8679204121186967</v>
      </c>
      <c r="Q375">
        <v>70</v>
      </c>
      <c r="R375" s="9">
        <f t="shared" si="23"/>
        <v>5.0473877522953021E-2</v>
      </c>
      <c r="S375">
        <v>29</v>
      </c>
      <c r="T375" s="9">
        <f t="shared" si="22"/>
        <v>-2.2568557548175985</v>
      </c>
    </row>
    <row r="376" spans="1:20" x14ac:dyDescent="0.25">
      <c r="A376">
        <v>375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>
        <v>0</v>
      </c>
      <c r="K376" t="str">
        <f xml:space="preserve"> IF(COUNTIF($D$2:$D1144,D376)&gt;1,"duplicated","original")</f>
        <v>duplicated</v>
      </c>
      <c r="L376" s="2">
        <f>COUNTIF($D$2:$D376,D376)</f>
        <v>6</v>
      </c>
      <c r="M376" t="str">
        <f xml:space="preserve"> IF(COUNTIF($I$2:$I1144,I376)&gt;1,"duplicated","original")</f>
        <v>duplicated</v>
      </c>
      <c r="N376" s="2">
        <f>COUNTIF($I$2:$I376,I376)</f>
        <v>12</v>
      </c>
      <c r="O376" s="8">
        <f t="shared" si="20"/>
        <v>4.1249975371391949</v>
      </c>
      <c r="P376" s="8">
        <f t="shared" si="21"/>
        <v>2.2858187789601945</v>
      </c>
      <c r="Q376">
        <v>70</v>
      </c>
      <c r="R376" s="9">
        <f t="shared" si="23"/>
        <v>5.0473877522953021E-2</v>
      </c>
      <c r="S376">
        <v>29</v>
      </c>
      <c r="T376" s="9">
        <f t="shared" si="22"/>
        <v>-2.1030337793282281</v>
      </c>
    </row>
    <row r="377" spans="1:20" x14ac:dyDescent="0.25">
      <c r="A377">
        <v>376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>
        <v>1</v>
      </c>
      <c r="K377" t="str">
        <f xml:space="preserve"> IF(COUNTIF($D$2:$D1145,D377)&gt;1,"duplicated","original")</f>
        <v>duplicated</v>
      </c>
      <c r="L377" s="2">
        <f>COUNTIF($D$2:$D377,D377)</f>
        <v>13</v>
      </c>
      <c r="M377" t="str">
        <f xml:space="preserve"> IF(COUNTIF($I$2:$I1145,I377)&gt;1,"duplicated","original")</f>
        <v>duplicated</v>
      </c>
      <c r="N377" s="2">
        <f>COUNTIF($I$2:$I377,I377)</f>
        <v>3</v>
      </c>
      <c r="O377" s="8">
        <f t="shared" si="20"/>
        <v>3.6033866457258754</v>
      </c>
      <c r="P377" s="8">
        <f t="shared" si="21"/>
        <v>4.9774524116010319</v>
      </c>
      <c r="Q377">
        <v>70</v>
      </c>
      <c r="R377" s="9">
        <f t="shared" si="23"/>
        <v>5.0473877522953021E-2</v>
      </c>
      <c r="S377">
        <v>29</v>
      </c>
      <c r="T377" s="9">
        <f t="shared" si="22"/>
        <v>-0.56481402443452733</v>
      </c>
    </row>
    <row r="378" spans="1:20" x14ac:dyDescent="0.25">
      <c r="A378">
        <v>377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>
        <v>0</v>
      </c>
      <c r="K378" t="str">
        <f xml:space="preserve"> IF(COUNTIF($D$2:$D1132,$D$3)&gt;1,"duplicated","original")</f>
        <v>duplicated</v>
      </c>
      <c r="L378" s="2">
        <f>COUNTIF($D$2:$D378,D378)</f>
        <v>14</v>
      </c>
      <c r="M378" t="str">
        <f xml:space="preserve"> IF(COUNTIF($I$2:$I1146,I378)&gt;1,"duplicated","original")</f>
        <v>duplicated</v>
      </c>
      <c r="N378" s="2">
        <f>COUNTIF($I$2:$I378,I378)</f>
        <v>31</v>
      </c>
      <c r="O378" s="8">
        <f t="shared" si="20"/>
        <v>3.6033866457258754</v>
      </c>
      <c r="P378" s="8">
        <f t="shared" si="21"/>
        <v>3.3503682618851132</v>
      </c>
      <c r="Q378">
        <v>72</v>
      </c>
      <c r="R378" s="9">
        <f t="shared" si="23"/>
        <v>0.15302186118253308</v>
      </c>
      <c r="S378">
        <v>29</v>
      </c>
      <c r="T378" s="9">
        <f t="shared" si="22"/>
        <v>-2.4106777303069684</v>
      </c>
    </row>
    <row r="379" spans="1:20" x14ac:dyDescent="0.25">
      <c r="A379">
        <v>378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>
        <v>0</v>
      </c>
      <c r="K379" t="str">
        <f xml:space="preserve"> IF(COUNTIF($D$2:$D1147,D379)&gt;1,"duplicated","original")</f>
        <v>duplicated</v>
      </c>
      <c r="L379" s="2">
        <f>COUNTIF($D$2:$D379,D379)</f>
        <v>16</v>
      </c>
      <c r="M379" t="str">
        <f xml:space="preserve"> IF(COUNTIF($I$2:$I1133,I379)&gt;1,"duplicated","original")</f>
        <v>duplicated</v>
      </c>
      <c r="N379" s="2">
        <f>COUNTIF($I$2:$I379,I379)</f>
        <v>32</v>
      </c>
      <c r="O379" s="8">
        <f t="shared" si="20"/>
        <v>3.002599653867366</v>
      </c>
      <c r="P379" s="8">
        <f t="shared" si="21"/>
        <v>3.3503682618851132</v>
      </c>
      <c r="Q379">
        <v>72</v>
      </c>
      <c r="R379" s="9">
        <f t="shared" si="23"/>
        <v>0.15302186118253308</v>
      </c>
      <c r="S379">
        <v>29</v>
      </c>
      <c r="T379" s="9">
        <f t="shared" si="22"/>
        <v>-2.4106777303069684</v>
      </c>
    </row>
    <row r="380" spans="1:20" x14ac:dyDescent="0.25">
      <c r="A380">
        <v>379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>
        <v>1</v>
      </c>
      <c r="K380" t="str">
        <f xml:space="preserve"> IF(COUNTIF($D$2:$D1148,D380)&gt;1,"duplicated","original")</f>
        <v>duplicated</v>
      </c>
      <c r="L380" s="2">
        <f>COUNTIF($D$2:$D380,D380)</f>
        <v>5</v>
      </c>
      <c r="M380" t="str">
        <f xml:space="preserve"> IF(COUNTIF($I$2:$I1148,I380)&gt;1,"duplicated","original")</f>
        <v>duplicated</v>
      </c>
      <c r="N380" s="2">
        <f>COUNTIF($I$2:$I380,I380)</f>
        <v>11</v>
      </c>
      <c r="O380" s="8">
        <f t="shared" si="20"/>
        <v>2.4463023767710266</v>
      </c>
      <c r="P380" s="8">
        <f t="shared" si="21"/>
        <v>1.1067824945521474</v>
      </c>
      <c r="Q380">
        <v>72</v>
      </c>
      <c r="R380" s="9">
        <f t="shared" si="23"/>
        <v>0.15302186118253308</v>
      </c>
      <c r="S380">
        <v>29</v>
      </c>
      <c r="T380" s="9">
        <f t="shared" si="22"/>
        <v>-1.8979378120090682</v>
      </c>
    </row>
    <row r="381" spans="1:20" x14ac:dyDescent="0.25">
      <c r="A381">
        <v>380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>
        <v>0</v>
      </c>
      <c r="K381" t="str">
        <f xml:space="preserve"> IF(COUNTIF($D$2:$D1135,$D$3)&gt;1,"duplicated","original")</f>
        <v>duplicated</v>
      </c>
      <c r="L381" s="2">
        <f>COUNTIF($D$2:$D381,D381)</f>
        <v>1</v>
      </c>
      <c r="M381" t="str">
        <f xml:space="preserve"> IF(COUNTIF($I$2:$I1149,I381)&gt;1,"duplicated","original")</f>
        <v>duplicated</v>
      </c>
      <c r="N381" s="2">
        <f>COUNTIF($I$2:$I381,I381)</f>
        <v>4</v>
      </c>
      <c r="O381" s="8">
        <f t="shared" si="20"/>
        <v>5.5663628446765463</v>
      </c>
      <c r="P381" s="8">
        <f t="shared" si="21"/>
        <v>1.332303460084423</v>
      </c>
      <c r="Q381">
        <v>72</v>
      </c>
      <c r="R381" s="9">
        <f t="shared" si="23"/>
        <v>0.15302186118253308</v>
      </c>
      <c r="S381">
        <v>29</v>
      </c>
      <c r="T381" s="9">
        <f t="shared" si="22"/>
        <v>-1.744115836519698</v>
      </c>
    </row>
    <row r="382" spans="1:20" x14ac:dyDescent="0.25">
      <c r="A382">
        <v>381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>
        <v>0</v>
      </c>
      <c r="K382" t="str">
        <f xml:space="preserve"> IF(COUNTIF($D$2:$D1150,D382)&gt;1,"duplicated","original")</f>
        <v>duplicated</v>
      </c>
      <c r="L382" s="2">
        <f>COUNTIF($D$2:$D382,D382)</f>
        <v>24</v>
      </c>
      <c r="M382" t="str">
        <f xml:space="preserve"> IF(COUNTIF($I$2:$I1150,I382)&gt;1,"duplicated","original")</f>
        <v>duplicated</v>
      </c>
      <c r="N382" s="2">
        <f>COUNTIF($I$2:$I382,I382)</f>
        <v>23</v>
      </c>
      <c r="O382" s="8">
        <f t="shared" si="20"/>
        <v>1.7275402509335562</v>
      </c>
      <c r="P382" s="8">
        <f t="shared" si="21"/>
        <v>3.0372631578852487</v>
      </c>
      <c r="Q382">
        <v>72</v>
      </c>
      <c r="R382" s="9">
        <f t="shared" si="23"/>
        <v>0.15302186118253308</v>
      </c>
      <c r="S382">
        <v>29</v>
      </c>
      <c r="T382" s="9">
        <f t="shared" si="22"/>
        <v>-2.3081297466473885</v>
      </c>
    </row>
    <row r="383" spans="1:20" x14ac:dyDescent="0.25">
      <c r="A383">
        <v>382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>
        <v>0</v>
      </c>
      <c r="K383" t="str">
        <f xml:space="preserve"> IF(COUNTIF($D$2:$D1151,D383)&gt;1,"duplicated","original")</f>
        <v>duplicated</v>
      </c>
      <c r="L383" s="2">
        <f>COUNTIF($D$2:$D383,D383)</f>
        <v>23</v>
      </c>
      <c r="M383" t="str">
        <f xml:space="preserve"> IF(COUNTIF($I$2:$I1137,I383)&gt;1,"duplicated","original")</f>
        <v>duplicated</v>
      </c>
      <c r="N383" s="2">
        <f>COUNTIF($I$2:$I383,I383)</f>
        <v>33</v>
      </c>
      <c r="O383" s="8">
        <f t="shared" si="20"/>
        <v>1.0077721376404618</v>
      </c>
      <c r="P383" s="8">
        <f t="shared" si="21"/>
        <v>3.3503682618851132</v>
      </c>
      <c r="Q383">
        <v>72</v>
      </c>
      <c r="R383" s="9">
        <f t="shared" si="23"/>
        <v>0.15302186118253308</v>
      </c>
      <c r="S383">
        <v>29</v>
      </c>
      <c r="T383" s="9">
        <f t="shared" si="22"/>
        <v>-2.4106777303069684</v>
      </c>
    </row>
    <row r="384" spans="1:20" x14ac:dyDescent="0.25">
      <c r="A384">
        <v>383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>
        <v>0</v>
      </c>
      <c r="K384" t="str">
        <f xml:space="preserve"> IF(COUNTIF($D$2:$D1138,$D$3)&gt;1,"duplicated","original")</f>
        <v>duplicated</v>
      </c>
      <c r="L384" s="2">
        <f>COUNTIF($D$2:$D384,D384)</f>
        <v>17</v>
      </c>
      <c r="M384" t="str">
        <f xml:space="preserve"> IF(COUNTIF($I$2:$I1152,I384)&gt;1,"duplicated","original")</f>
        <v>duplicated</v>
      </c>
      <c r="N384" s="2">
        <f>COUNTIF($I$2:$I384,I384)</f>
        <v>31</v>
      </c>
      <c r="O384" s="8">
        <f t="shared" si="20"/>
        <v>3.002599653867366</v>
      </c>
      <c r="P384" s="8">
        <f t="shared" si="21"/>
        <v>3.4964220984096119</v>
      </c>
      <c r="Q384">
        <v>72</v>
      </c>
      <c r="R384" s="9">
        <f t="shared" si="23"/>
        <v>0.15302186118253308</v>
      </c>
      <c r="S384">
        <v>29</v>
      </c>
      <c r="T384" s="9">
        <f t="shared" si="22"/>
        <v>-2.4619517221367584</v>
      </c>
    </row>
    <row r="385" spans="1:20" x14ac:dyDescent="0.25">
      <c r="A385">
        <v>384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>
        <v>0</v>
      </c>
      <c r="K385" t="str">
        <f xml:space="preserve"> IF(COUNTIF($D$2:$D1153,D385)&gt;1,"duplicated","original")</f>
        <v>duplicated</v>
      </c>
      <c r="L385" s="2">
        <f>COUNTIF($D$2:$D385,D385)</f>
        <v>17</v>
      </c>
      <c r="M385" t="str">
        <f xml:space="preserve"> IF(COUNTIF($I$2:$I1153,I385)&gt;1,"duplicated","original")</f>
        <v>duplicated</v>
      </c>
      <c r="N385" s="2">
        <f>COUNTIF($I$2:$I385,I385)</f>
        <v>23</v>
      </c>
      <c r="O385" s="8">
        <f t="shared" si="20"/>
        <v>2.648698676974115</v>
      </c>
      <c r="P385" s="8">
        <f t="shared" si="21"/>
        <v>2.8679204121186967</v>
      </c>
      <c r="Q385">
        <v>72</v>
      </c>
      <c r="R385" s="9">
        <f t="shared" si="23"/>
        <v>0.15302186118253308</v>
      </c>
      <c r="S385">
        <v>29</v>
      </c>
      <c r="T385" s="9">
        <f t="shared" si="22"/>
        <v>-2.2568557548175985</v>
      </c>
    </row>
    <row r="386" spans="1:20" x14ac:dyDescent="0.25">
      <c r="A386">
        <v>385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>
        <v>0</v>
      </c>
      <c r="K386" t="str">
        <f xml:space="preserve"> IF(COUNTIF($D$2:$D1154,D386)&gt;1,"duplicated","original")</f>
        <v>duplicated</v>
      </c>
      <c r="L386" s="2">
        <f>COUNTIF($D$2:$D386,D386)</f>
        <v>28</v>
      </c>
      <c r="M386" t="str">
        <f xml:space="preserve"> IF(COUNTIF($I$2:$I1154,I386)&gt;1,"duplicated","original")</f>
        <v>duplicated</v>
      </c>
      <c r="N386" s="2">
        <f>COUNTIF($I$2:$I386,I386)</f>
        <v>24</v>
      </c>
      <c r="O386" s="8">
        <f t="shared" ref="O386:O449" si="24">SQRT(ABS($D386 - $U$8))</f>
        <v>0.99216698120607405</v>
      </c>
      <c r="P386" s="8">
        <f t="shared" ref="P386:P449" si="25">SQRT(ABS($I386 - $W$8))</f>
        <v>2.8679204121186967</v>
      </c>
      <c r="Q386">
        <v>72</v>
      </c>
      <c r="R386" s="9">
        <f t="shared" si="23"/>
        <v>0.15302186118253308</v>
      </c>
      <c r="S386">
        <v>29</v>
      </c>
      <c r="T386" s="9">
        <f t="shared" si="22"/>
        <v>-2.2568557548175985</v>
      </c>
    </row>
    <row r="387" spans="1:20" x14ac:dyDescent="0.25">
      <c r="A387">
        <v>386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>
        <v>0</v>
      </c>
      <c r="K387" t="str">
        <f xml:space="preserve"> IF(COUNTIF($D$2:$D1141,$D$3)&gt;1,"duplicated","original")</f>
        <v>duplicated</v>
      </c>
      <c r="L387" s="2">
        <f>COUNTIF($D$2:$D387,D387)</f>
        <v>4</v>
      </c>
      <c r="M387" t="str">
        <f xml:space="preserve"> IF(COUNTIF($I$2:$I1141,I387)&gt;1,"duplicated","original")</f>
        <v>duplicated</v>
      </c>
      <c r="N387" s="2">
        <f>COUNTIF($I$2:$I387,I387)</f>
        <v>24</v>
      </c>
      <c r="O387" s="8">
        <f t="shared" si="24"/>
        <v>3.8749973782448452</v>
      </c>
      <c r="P387" s="8">
        <f t="shared" si="25"/>
        <v>3.0372631578852487</v>
      </c>
      <c r="Q387">
        <v>72</v>
      </c>
      <c r="R387" s="9">
        <f t="shared" si="23"/>
        <v>0.15302186118253308</v>
      </c>
      <c r="S387">
        <v>29</v>
      </c>
      <c r="T387" s="9">
        <f t="shared" ref="T387:T450" si="26">STANDARDIZE($I387,$U$8,$U$26)</f>
        <v>-2.3081297466473885</v>
      </c>
    </row>
    <row r="388" spans="1:20" x14ac:dyDescent="0.25">
      <c r="A388">
        <v>387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>
        <v>1</v>
      </c>
      <c r="K388" t="str">
        <f xml:space="preserve"> IF(COUNTIF($D$2:$D1156,D388)&gt;1,"duplicated","original")</f>
        <v>duplicated</v>
      </c>
      <c r="L388" s="2">
        <f>COUNTIF($D$2:$D388,D388)</f>
        <v>25</v>
      </c>
      <c r="M388" t="str">
        <f xml:space="preserve"> IF(COUNTIF($I$2:$I1156,I388)&gt;1,"duplicated","original")</f>
        <v>duplicated</v>
      </c>
      <c r="N388" s="2">
        <f>COUNTIF($I$2:$I388,I388)</f>
        <v>5</v>
      </c>
      <c r="O388" s="8">
        <f t="shared" si="24"/>
        <v>2.2325759379236296</v>
      </c>
      <c r="P388" s="8">
        <f t="shared" si="25"/>
        <v>1.332303460084423</v>
      </c>
      <c r="Q388">
        <v>72</v>
      </c>
      <c r="R388" s="9">
        <f t="shared" si="23"/>
        <v>0.15302186118253308</v>
      </c>
      <c r="S388">
        <v>29</v>
      </c>
      <c r="T388" s="9">
        <f t="shared" si="26"/>
        <v>-1.744115836519698</v>
      </c>
    </row>
    <row r="389" spans="1:20" x14ac:dyDescent="0.25">
      <c r="A389">
        <v>388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>
        <v>1</v>
      </c>
      <c r="K389" t="str">
        <f xml:space="preserve"> IF(COUNTIF($D$2:$D1157,D389)&gt;1,"duplicated","original")</f>
        <v>duplicated</v>
      </c>
      <c r="L389" s="2">
        <f>COUNTIF($D$2:$D389,D389)</f>
        <v>2</v>
      </c>
      <c r="M389" t="str">
        <f xml:space="preserve"> IF(COUNTIF($I$2:$I1157,I389)&gt;1,"duplicated","original")</f>
        <v>duplicated</v>
      </c>
      <c r="N389" s="2">
        <f>COUNTIF($I$2:$I389,I389)</f>
        <v>5</v>
      </c>
      <c r="O389" s="8">
        <f t="shared" si="24"/>
        <v>5.5663628446765463</v>
      </c>
      <c r="P389" s="8">
        <f t="shared" si="25"/>
        <v>3.4314767243495803</v>
      </c>
      <c r="Q389">
        <v>72</v>
      </c>
      <c r="R389" s="9">
        <f t="shared" ref="R389:R452" si="27">STANDARDIZE($Q389,$U$8,$U$26)</f>
        <v>0.15302186118253308</v>
      </c>
      <c r="S389">
        <v>29</v>
      </c>
      <c r="T389" s="9">
        <f t="shared" si="26"/>
        <v>-1.2313759182217978</v>
      </c>
    </row>
    <row r="390" spans="1:20" x14ac:dyDescent="0.25">
      <c r="A390">
        <v>389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>
        <v>1</v>
      </c>
      <c r="K390" t="str">
        <f xml:space="preserve"> IF(COUNTIF($D$2:$D1144,$D$3)&gt;1,"duplicated","original")</f>
        <v>duplicated</v>
      </c>
      <c r="L390" s="2">
        <f>COUNTIF($D$2:$D390,D390)</f>
        <v>15</v>
      </c>
      <c r="M390" t="str">
        <f xml:space="preserve"> IF(COUNTIF($I$2:$I1158,I390)&gt;1,"duplicated","original")</f>
        <v>duplicated</v>
      </c>
      <c r="N390" s="2">
        <f>COUNTIF($I$2:$I390,I390)</f>
        <v>4</v>
      </c>
      <c r="O390" s="8">
        <f t="shared" si="24"/>
        <v>3.6033866457258754</v>
      </c>
      <c r="P390" s="8">
        <f t="shared" si="25"/>
        <v>4.9774524116010319</v>
      </c>
      <c r="Q390">
        <v>72</v>
      </c>
      <c r="R390" s="9">
        <f t="shared" si="27"/>
        <v>0.15302186118253308</v>
      </c>
      <c r="S390">
        <v>29</v>
      </c>
      <c r="T390" s="9">
        <f t="shared" si="26"/>
        <v>-0.56481402443452733</v>
      </c>
    </row>
    <row r="391" spans="1:20" x14ac:dyDescent="0.25">
      <c r="A391">
        <v>390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>
        <v>0</v>
      </c>
      <c r="K391" t="str">
        <f xml:space="preserve"> IF(COUNTIF($D$2:$D1159,D391)&gt;1,"duplicated","original")</f>
        <v>duplicated</v>
      </c>
      <c r="L391" s="2">
        <f>COUNTIF($D$2:$D391,D391)</f>
        <v>24</v>
      </c>
      <c r="M391" t="str">
        <f xml:space="preserve"> IF(COUNTIF($I$2:$I1145,I391)&gt;1,"duplicated","original")</f>
        <v>duplicated</v>
      </c>
      <c r="N391" s="2">
        <f>COUNTIF($I$2:$I391,I391)</f>
        <v>13</v>
      </c>
      <c r="O391" s="8">
        <f t="shared" si="24"/>
        <v>1.0077721376404618</v>
      </c>
      <c r="P391" s="8">
        <f t="shared" si="25"/>
        <v>2.2858187789601945</v>
      </c>
      <c r="Q391">
        <v>72</v>
      </c>
      <c r="R391" s="9">
        <f t="shared" si="27"/>
        <v>0.15302186118253308</v>
      </c>
      <c r="S391">
        <v>29</v>
      </c>
      <c r="T391" s="9">
        <f t="shared" si="26"/>
        <v>-2.1030337793282281</v>
      </c>
    </row>
    <row r="392" spans="1:20" x14ac:dyDescent="0.25">
      <c r="A392">
        <v>391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>
        <v>0</v>
      </c>
      <c r="K392" t="str">
        <f xml:space="preserve"> IF(COUNTIF($D$2:$D1160,D392)&gt;1,"duplicated","original")</f>
        <v>duplicated</v>
      </c>
      <c r="L392" s="2">
        <f>COUNTIF($D$2:$D392,D392)</f>
        <v>20</v>
      </c>
      <c r="M392" t="str">
        <f xml:space="preserve"> IF(COUNTIF($I$2:$I1160,I392)&gt;1,"duplicated","original")</f>
        <v>duplicated</v>
      </c>
      <c r="N392" s="2">
        <f>COUNTIF($I$2:$I392,I392)</f>
        <v>10</v>
      </c>
      <c r="O392" s="8">
        <f t="shared" si="24"/>
        <v>1.7365496484133203</v>
      </c>
      <c r="P392" s="8">
        <f t="shared" si="25"/>
        <v>2.9622681360324097</v>
      </c>
      <c r="Q392">
        <v>72</v>
      </c>
      <c r="R392" s="9">
        <f t="shared" si="27"/>
        <v>0.15302186118253308</v>
      </c>
      <c r="S392">
        <v>29</v>
      </c>
      <c r="T392" s="9">
        <f t="shared" si="26"/>
        <v>-1.385197893711168</v>
      </c>
    </row>
    <row r="393" spans="1:20" x14ac:dyDescent="0.25">
      <c r="A393">
        <v>392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>
        <v>1</v>
      </c>
      <c r="K393" t="str">
        <f xml:space="preserve"> IF(COUNTIF($D$2:$D1147,$D$3)&gt;1,"duplicated","original")</f>
        <v>duplicated</v>
      </c>
      <c r="L393" s="2">
        <f>COUNTIF($D$2:$D393,D393)</f>
        <v>21</v>
      </c>
      <c r="M393" t="str">
        <f xml:space="preserve"> IF(COUNTIF($I$2:$I1161,I393)&gt;1,"duplicated","original")</f>
        <v>duplicated</v>
      </c>
      <c r="N393" s="2">
        <f>COUNTIF($I$2:$I393,I393)</f>
        <v>16</v>
      </c>
      <c r="O393" s="8">
        <f t="shared" si="24"/>
        <v>2.642800658126824</v>
      </c>
      <c r="P393" s="8">
        <f t="shared" si="25"/>
        <v>2.4949884749727951</v>
      </c>
      <c r="Q393">
        <v>72</v>
      </c>
      <c r="R393" s="9">
        <f t="shared" si="27"/>
        <v>0.15302186118253308</v>
      </c>
      <c r="S393">
        <v>29</v>
      </c>
      <c r="T393" s="9">
        <f t="shared" si="26"/>
        <v>-2.1543077711580185</v>
      </c>
    </row>
    <row r="394" spans="1:20" x14ac:dyDescent="0.25">
      <c r="A394">
        <v>393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>
        <v>0</v>
      </c>
      <c r="K394" t="str">
        <f xml:space="preserve"> IF(COUNTIF($D$2:$D1162,D394)&gt;1,"duplicated","original")</f>
        <v>duplicated</v>
      </c>
      <c r="L394" s="2">
        <f>COUNTIF($D$2:$D394,D394)</f>
        <v>23</v>
      </c>
      <c r="M394" t="str">
        <f xml:space="preserve"> IF(COUNTIF($I$2:$I1162,I394)&gt;1,"duplicated","original")</f>
        <v>duplicated</v>
      </c>
      <c r="N394" s="2">
        <f>COUNTIF($I$2:$I394,I394)</f>
        <v>32</v>
      </c>
      <c r="O394" s="8">
        <f t="shared" si="24"/>
        <v>2.2395545720978594</v>
      </c>
      <c r="P394" s="8">
        <f t="shared" si="25"/>
        <v>3.4964220984096119</v>
      </c>
      <c r="Q394">
        <v>72</v>
      </c>
      <c r="R394" s="9">
        <f t="shared" si="27"/>
        <v>0.15302186118253308</v>
      </c>
      <c r="S394">
        <v>29</v>
      </c>
      <c r="T394" s="9">
        <f t="shared" si="26"/>
        <v>-2.4619517221367584</v>
      </c>
    </row>
    <row r="395" spans="1:20" x14ac:dyDescent="0.25">
      <c r="A395">
        <v>394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>
        <v>0</v>
      </c>
      <c r="K395" t="str">
        <f xml:space="preserve"> IF(COUNTIF($D$2:$D1163,D395)&gt;1,"duplicated","original")</f>
        <v>duplicated</v>
      </c>
      <c r="L395" s="2">
        <f>COUNTIF($D$2:$D395,D395)</f>
        <v>25</v>
      </c>
      <c r="M395" t="str">
        <f xml:space="preserve"> IF(COUNTIF($I$2:$I1149,I395)&gt;1,"duplicated","original")</f>
        <v>duplicated</v>
      </c>
      <c r="N395" s="2">
        <f>COUNTIF($I$2:$I395,I395)</f>
        <v>12</v>
      </c>
      <c r="O395" s="8">
        <f t="shared" si="24"/>
        <v>1.7275402509335562</v>
      </c>
      <c r="P395" s="8">
        <f t="shared" si="25"/>
        <v>1.9429442888958308</v>
      </c>
      <c r="Q395">
        <v>72</v>
      </c>
      <c r="R395" s="9">
        <f t="shared" si="27"/>
        <v>0.15302186118253308</v>
      </c>
      <c r="S395">
        <v>29</v>
      </c>
      <c r="T395" s="9">
        <f t="shared" si="26"/>
        <v>-1.6415678528601181</v>
      </c>
    </row>
    <row r="396" spans="1:20" x14ac:dyDescent="0.25">
      <c r="A396">
        <v>395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>
        <v>1</v>
      </c>
      <c r="K396" t="str">
        <f xml:space="preserve"> IF(COUNTIF($D$2:$D1150,$D$3)&gt;1,"duplicated","original")</f>
        <v>duplicated</v>
      </c>
      <c r="L396" s="2">
        <f>COUNTIF($D$2:$D396,D396)</f>
        <v>19</v>
      </c>
      <c r="M396" t="str">
        <f xml:space="preserve"> IF(COUNTIF($I$2:$I1164,I396)&gt;1,"duplicated","original")</f>
        <v>duplicated</v>
      </c>
      <c r="N396" s="2">
        <f>COUNTIF($I$2:$I396,I396)</f>
        <v>12</v>
      </c>
      <c r="O396" s="8">
        <f t="shared" si="24"/>
        <v>2.9973980914445737</v>
      </c>
      <c r="P396" s="8">
        <f t="shared" si="25"/>
        <v>1.4916324916838848</v>
      </c>
      <c r="Q396">
        <v>72</v>
      </c>
      <c r="R396" s="9">
        <f t="shared" si="27"/>
        <v>0.15302186118253308</v>
      </c>
      <c r="S396">
        <v>29</v>
      </c>
      <c r="T396" s="9">
        <f t="shared" si="26"/>
        <v>-1.9492118038388582</v>
      </c>
    </row>
    <row r="397" spans="1:20" x14ac:dyDescent="0.25">
      <c r="A397">
        <v>396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>
        <v>0</v>
      </c>
      <c r="K397" t="str">
        <f xml:space="preserve"> IF(COUNTIF($D$2:$D1165,D397)&gt;1,"duplicated","original")</f>
        <v>duplicated</v>
      </c>
      <c r="L397" s="2">
        <f>COUNTIF($D$2:$D397,D397)</f>
        <v>10</v>
      </c>
      <c r="M397" t="str">
        <f xml:space="preserve"> IF(COUNTIF($I$2:$I1165,I397)&gt;1,"duplicated","original")</f>
        <v>duplicated</v>
      </c>
      <c r="N397" s="2">
        <f>COUNTIF($I$2:$I397,I397)</f>
        <v>25</v>
      </c>
      <c r="O397" s="8">
        <f t="shared" si="24"/>
        <v>3.3189764508662045</v>
      </c>
      <c r="P397" s="8">
        <f t="shared" si="25"/>
        <v>2.8679204121186967</v>
      </c>
      <c r="Q397">
        <v>72</v>
      </c>
      <c r="R397" s="9">
        <f t="shared" si="27"/>
        <v>0.15302186118253308</v>
      </c>
      <c r="S397">
        <v>29</v>
      </c>
      <c r="T397" s="9">
        <f t="shared" si="26"/>
        <v>-2.2568557548175985</v>
      </c>
    </row>
    <row r="398" spans="1:20" x14ac:dyDescent="0.25">
      <c r="A398">
        <v>397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>
        <v>0</v>
      </c>
      <c r="K398" t="str">
        <f xml:space="preserve"> IF(COUNTIF($D$2:$D1166,D398)&gt;1,"duplicated","original")</f>
        <v>duplicated</v>
      </c>
      <c r="L398" s="2">
        <f>COUNTIF($D$2:$D398,D398)</f>
        <v>7</v>
      </c>
      <c r="M398" t="str">
        <f xml:space="preserve"> IF(COUNTIF($I$2:$I1166,I398)&gt;1,"duplicated","original")</f>
        <v>duplicated</v>
      </c>
      <c r="N398" s="2">
        <f>COUNTIF($I$2:$I398,I398)</f>
        <v>5</v>
      </c>
      <c r="O398" s="8">
        <f t="shared" si="24"/>
        <v>3.6077146064239098</v>
      </c>
      <c r="P398" s="8">
        <f t="shared" si="25"/>
        <v>2.4031297321936087</v>
      </c>
      <c r="Q398">
        <v>72</v>
      </c>
      <c r="R398" s="9">
        <f t="shared" si="27"/>
        <v>0.15302186118253308</v>
      </c>
      <c r="S398">
        <v>29</v>
      </c>
      <c r="T398" s="9">
        <f t="shared" si="26"/>
        <v>-1.5390198692005379</v>
      </c>
    </row>
    <row r="399" spans="1:20" x14ac:dyDescent="0.25">
      <c r="A399">
        <v>398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>
        <v>1</v>
      </c>
      <c r="K399" t="str">
        <f xml:space="preserve"> IF(COUNTIF($D$2:$D1153,$D$3)&gt;1,"duplicated","original")</f>
        <v>duplicated</v>
      </c>
      <c r="L399" s="2">
        <f>COUNTIF($D$2:$D399,D399)</f>
        <v>21</v>
      </c>
      <c r="M399" t="str">
        <f xml:space="preserve"> IF(COUNTIF($I$2:$I1153,I399)&gt;1,"duplicated","original")</f>
        <v>duplicated</v>
      </c>
      <c r="N399" s="2">
        <f>COUNTIF($I$2:$I399,I399)</f>
        <v>34</v>
      </c>
      <c r="O399" s="8">
        <f t="shared" si="24"/>
        <v>1.7365496484133203</v>
      </c>
      <c r="P399" s="8">
        <f t="shared" si="25"/>
        <v>3.3503682618851132</v>
      </c>
      <c r="Q399">
        <v>72</v>
      </c>
      <c r="R399" s="9">
        <f t="shared" si="27"/>
        <v>0.15302186118253308</v>
      </c>
      <c r="S399">
        <v>30</v>
      </c>
      <c r="T399" s="9">
        <f t="shared" si="26"/>
        <v>-2.4106777303069684</v>
      </c>
    </row>
    <row r="400" spans="1:20" x14ac:dyDescent="0.25">
      <c r="A400">
        <v>399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>
        <v>0</v>
      </c>
      <c r="K400" t="str">
        <f xml:space="preserve"> IF(COUNTIF($D$2:$D1168,D400)&gt;1,"duplicated","original")</f>
        <v>duplicated</v>
      </c>
      <c r="L400" s="2">
        <f>COUNTIF($D$2:$D400,D400)</f>
        <v>29</v>
      </c>
      <c r="M400" t="str">
        <f xml:space="preserve"> IF(COUNTIF($I$2:$I1168,I400)&gt;1,"duplicated","original")</f>
        <v>duplicated</v>
      </c>
      <c r="N400" s="2">
        <f>COUNTIF($I$2:$I400,I400)</f>
        <v>26</v>
      </c>
      <c r="O400" s="8">
        <f t="shared" si="24"/>
        <v>0.99216698120607405</v>
      </c>
      <c r="P400" s="8">
        <f t="shared" si="25"/>
        <v>2.8679204121186967</v>
      </c>
      <c r="Q400">
        <v>72</v>
      </c>
      <c r="R400" s="9">
        <f t="shared" si="27"/>
        <v>0.15302186118253308</v>
      </c>
      <c r="S400">
        <v>30</v>
      </c>
      <c r="T400" s="9">
        <f t="shared" si="26"/>
        <v>-2.2568557548175985</v>
      </c>
    </row>
    <row r="401" spans="1:20" x14ac:dyDescent="0.25">
      <c r="A401">
        <v>400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>
        <v>1</v>
      </c>
      <c r="K401" t="str">
        <f xml:space="preserve"> IF(COUNTIF($D$2:$D1169,D401)&gt;1,"duplicated","original")</f>
        <v>duplicated</v>
      </c>
      <c r="L401" s="2">
        <f>COUNTIF($D$2:$D401,D401)</f>
        <v>30</v>
      </c>
      <c r="M401" t="str">
        <f xml:space="preserve"> IF(COUNTIF($I$2:$I1169,I401)&gt;1,"duplicated","original")</f>
        <v>duplicated</v>
      </c>
      <c r="N401" s="2">
        <f>COUNTIF($I$2:$I401,I401)</f>
        <v>27</v>
      </c>
      <c r="O401" s="8">
        <f t="shared" si="24"/>
        <v>0.99216698120607405</v>
      </c>
      <c r="P401" s="8">
        <f t="shared" si="25"/>
        <v>2.8679204121186967</v>
      </c>
      <c r="Q401">
        <v>72</v>
      </c>
      <c r="R401" s="9">
        <f t="shared" si="27"/>
        <v>0.15302186118253308</v>
      </c>
      <c r="S401">
        <v>30</v>
      </c>
      <c r="T401" s="9">
        <f t="shared" si="26"/>
        <v>-2.2568557548175985</v>
      </c>
    </row>
    <row r="402" spans="1:20" x14ac:dyDescent="0.25">
      <c r="A402">
        <v>401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>
        <v>1</v>
      </c>
      <c r="K402" t="str">
        <f xml:space="preserve"> IF(COUNTIF($D$2:$D1156,$D$3)&gt;1,"duplicated","original")</f>
        <v>duplicated</v>
      </c>
      <c r="L402" s="2">
        <f>COUNTIF($D$2:$D402,D402)</f>
        <v>24</v>
      </c>
      <c r="M402" t="str">
        <f xml:space="preserve"> IF(COUNTIF($I$2:$I1170,I402)&gt;1,"duplicated","original")</f>
        <v>duplicated</v>
      </c>
      <c r="N402" s="2">
        <f>COUNTIF($I$2:$I402,I402)</f>
        <v>13</v>
      </c>
      <c r="O402" s="8">
        <f t="shared" si="24"/>
        <v>2.2395545720978594</v>
      </c>
      <c r="P402" s="8">
        <f t="shared" si="25"/>
        <v>1.4916324916838848</v>
      </c>
      <c r="Q402">
        <v>72</v>
      </c>
      <c r="R402" s="9">
        <f t="shared" si="27"/>
        <v>0.15302186118253308</v>
      </c>
      <c r="S402">
        <v>30</v>
      </c>
      <c r="T402" s="9">
        <f t="shared" si="26"/>
        <v>-1.9492118038388582</v>
      </c>
    </row>
    <row r="403" spans="1:20" x14ac:dyDescent="0.25">
      <c r="A403">
        <v>402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>
        <v>0</v>
      </c>
      <c r="K403" t="str">
        <f xml:space="preserve"> IF(COUNTIF($D$2:$D1171,D403)&gt;1,"duplicated","original")</f>
        <v>original</v>
      </c>
      <c r="L403" s="2">
        <f>COUNTIF($D$2:$D403,D403)</f>
        <v>1</v>
      </c>
      <c r="M403" t="str">
        <f xml:space="preserve"> IF(COUNTIF($I$2:$I1157,I403)&gt;1,"duplicated","original")</f>
        <v>duplicated</v>
      </c>
      <c r="N403" s="2">
        <f>COUNTIF($I$2:$I403,I403)</f>
        <v>3</v>
      </c>
      <c r="O403" s="8">
        <f t="shared" si="24"/>
        <v>2.831184324872619</v>
      </c>
      <c r="P403" s="8">
        <f t="shared" si="25"/>
        <v>4.666372521536716</v>
      </c>
      <c r="Q403">
        <v>72</v>
      </c>
      <c r="R403" s="9">
        <f t="shared" si="27"/>
        <v>0.15302186118253308</v>
      </c>
      <c r="S403">
        <v>30</v>
      </c>
      <c r="T403" s="9">
        <f t="shared" si="26"/>
        <v>-0.71863599992389748</v>
      </c>
    </row>
    <row r="404" spans="1:20" x14ac:dyDescent="0.25">
      <c r="A404">
        <v>403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>
        <v>1</v>
      </c>
      <c r="K404" t="str">
        <f xml:space="preserve"> IF(COUNTIF($D$2:$D1172,D404)&gt;1,"duplicated","original")</f>
        <v>duplicated</v>
      </c>
      <c r="L404" s="2">
        <f>COUNTIF($D$2:$D404,D404)</f>
        <v>14</v>
      </c>
      <c r="M404" t="str">
        <f xml:space="preserve"> IF(COUNTIF($I$2:$I1172,I404)&gt;1,"duplicated","original")</f>
        <v>duplicated</v>
      </c>
      <c r="N404" s="2">
        <f>COUNTIF($I$2:$I404,I404)</f>
        <v>6</v>
      </c>
      <c r="O404" s="8">
        <f t="shared" si="24"/>
        <v>3.8709682662863014</v>
      </c>
      <c r="P404" s="8">
        <f t="shared" si="25"/>
        <v>1.332303460084423</v>
      </c>
      <c r="Q404">
        <v>72</v>
      </c>
      <c r="R404" s="9">
        <f t="shared" si="27"/>
        <v>0.15302186118253308</v>
      </c>
      <c r="S404">
        <v>30</v>
      </c>
      <c r="T404" s="9">
        <f t="shared" si="26"/>
        <v>-1.744115836519698</v>
      </c>
    </row>
    <row r="405" spans="1:20" x14ac:dyDescent="0.25">
      <c r="A405">
        <v>404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>
        <v>0</v>
      </c>
      <c r="K405" t="str">
        <f xml:space="preserve"> IF(COUNTIF($D$2:$D1159,$D$3)&gt;1,"duplicated","original")</f>
        <v>duplicated</v>
      </c>
      <c r="L405" s="2">
        <f>COUNTIF($D$2:$D405,D405)</f>
        <v>20</v>
      </c>
      <c r="M405" t="str">
        <f xml:space="preserve"> IF(COUNTIF($I$2:$I1173,I405)&gt;1,"duplicated","original")</f>
        <v>duplicated</v>
      </c>
      <c r="N405" s="2">
        <f>COUNTIF($I$2:$I405,I405)</f>
        <v>7</v>
      </c>
      <c r="O405" s="8">
        <f t="shared" si="24"/>
        <v>2.9973980914445737</v>
      </c>
      <c r="P405" s="8">
        <f t="shared" si="25"/>
        <v>2.1851847770275459</v>
      </c>
      <c r="Q405">
        <v>72</v>
      </c>
      <c r="R405" s="9">
        <f t="shared" si="27"/>
        <v>0.15302186118253308</v>
      </c>
      <c r="S405">
        <v>30</v>
      </c>
      <c r="T405" s="9">
        <f t="shared" si="26"/>
        <v>-1.5902938610303279</v>
      </c>
    </row>
    <row r="406" spans="1:20" x14ac:dyDescent="0.25">
      <c r="A406">
        <v>405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>
        <v>1</v>
      </c>
      <c r="K406" t="str">
        <f xml:space="preserve"> IF(COUNTIF($D$2:$D1174,D406)&gt;1,"duplicated","original")</f>
        <v>duplicated</v>
      </c>
      <c r="L406" s="2">
        <f>COUNTIF($D$2:$D406,D406)</f>
        <v>25</v>
      </c>
      <c r="M406" t="str">
        <f xml:space="preserve"> IF(COUNTIF($I$2:$I1174,I406)&gt;1,"duplicated","original")</f>
        <v>duplicated</v>
      </c>
      <c r="N406" s="2">
        <f>COUNTIF($I$2:$I406,I406)</f>
        <v>14</v>
      </c>
      <c r="O406" s="8">
        <f t="shared" si="24"/>
        <v>2.2395545720978594</v>
      </c>
      <c r="P406" s="8">
        <f t="shared" si="25"/>
        <v>2.7883745282427403</v>
      </c>
      <c r="Q406">
        <v>72</v>
      </c>
      <c r="R406" s="9">
        <f t="shared" si="27"/>
        <v>0.15302186118253308</v>
      </c>
      <c r="S406">
        <v>30</v>
      </c>
      <c r="T406" s="9">
        <f t="shared" si="26"/>
        <v>-1.4364718855409579</v>
      </c>
    </row>
    <row r="407" spans="1:20" x14ac:dyDescent="0.25">
      <c r="A407">
        <v>406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>
        <v>0</v>
      </c>
      <c r="K407" t="str">
        <f xml:space="preserve"> IF(COUNTIF($D$2:$D1175,D407)&gt;1,"duplicated","original")</f>
        <v>duplicated</v>
      </c>
      <c r="L407" s="2">
        <f>COUNTIF($D$2:$D407,D407)</f>
        <v>5</v>
      </c>
      <c r="M407" t="str">
        <f xml:space="preserve"> IF(COUNTIF($I$2:$I1161,I407)&gt;1,"duplicated","original")</f>
        <v>duplicated</v>
      </c>
      <c r="N407" s="2">
        <f>COUNTIF($I$2:$I407,I407)</f>
        <v>18</v>
      </c>
      <c r="O407" s="8">
        <f t="shared" si="24"/>
        <v>4.5842779891062921</v>
      </c>
      <c r="P407" s="8">
        <f t="shared" si="25"/>
        <v>2.6879299637912952</v>
      </c>
      <c r="Q407">
        <v>72</v>
      </c>
      <c r="R407" s="9">
        <f t="shared" si="27"/>
        <v>0.15302186118253308</v>
      </c>
      <c r="S407">
        <v>30</v>
      </c>
      <c r="T407" s="9">
        <f t="shared" si="26"/>
        <v>-2.2055817629878085</v>
      </c>
    </row>
    <row r="408" spans="1:20" x14ac:dyDescent="0.25">
      <c r="A408">
        <v>407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>
        <v>1</v>
      </c>
      <c r="K408" t="str">
        <f xml:space="preserve"> IF(COUNTIF($D$2:$D1162,$D$3)&gt;1,"duplicated","original")</f>
        <v>duplicated</v>
      </c>
      <c r="L408" s="2">
        <f>COUNTIF($D$2:$D408,D408)</f>
        <v>26</v>
      </c>
      <c r="M408" t="str">
        <f xml:space="preserve"> IF(COUNTIF($I$2:$I1176,I408)&gt;1,"duplicated","original")</f>
        <v>duplicated</v>
      </c>
      <c r="N408" s="2">
        <f>COUNTIF($I$2:$I408,I408)</f>
        <v>7</v>
      </c>
      <c r="O408" s="8">
        <f t="shared" si="24"/>
        <v>1.7275402509335562</v>
      </c>
      <c r="P408" s="8">
        <f t="shared" si="25"/>
        <v>3.5742177479489028</v>
      </c>
      <c r="Q408">
        <v>72</v>
      </c>
      <c r="R408" s="9">
        <f t="shared" si="27"/>
        <v>0.15302186118253308</v>
      </c>
      <c r="S408">
        <v>30</v>
      </c>
      <c r="T408" s="9">
        <f t="shared" si="26"/>
        <v>-1.1801019263920078</v>
      </c>
    </row>
    <row r="409" spans="1:20" x14ac:dyDescent="0.25">
      <c r="A409">
        <v>408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>
        <v>0</v>
      </c>
      <c r="K409" t="str">
        <f xml:space="preserve"> IF(COUNTIF($D$2:$D1177,D409)&gt;1,"duplicated","original")</f>
        <v>duplicated</v>
      </c>
      <c r="L409" s="2">
        <f>COUNTIF($D$2:$D409,D409)</f>
        <v>18</v>
      </c>
      <c r="M409" t="str">
        <f xml:space="preserve"> IF(COUNTIF($I$2:$I1177,I409)&gt;1,"duplicated","original")</f>
        <v>duplicated</v>
      </c>
      <c r="N409" s="2">
        <f>COUNTIF($I$2:$I409,I409)</f>
        <v>28</v>
      </c>
      <c r="O409" s="8">
        <f t="shared" si="24"/>
        <v>2.648698676974115</v>
      </c>
      <c r="P409" s="8">
        <f t="shared" si="25"/>
        <v>2.8679204121186967</v>
      </c>
      <c r="Q409">
        <v>72</v>
      </c>
      <c r="R409" s="9">
        <f t="shared" si="27"/>
        <v>0.15302186118253308</v>
      </c>
      <c r="S409">
        <v>30</v>
      </c>
      <c r="T409" s="9">
        <f t="shared" si="26"/>
        <v>-2.2568557548175985</v>
      </c>
    </row>
    <row r="410" spans="1:20" x14ac:dyDescent="0.25">
      <c r="A410">
        <v>409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>
        <v>1</v>
      </c>
      <c r="K410" t="str">
        <f xml:space="preserve"> IF(COUNTIF($D$2:$D1178,D410)&gt;1,"duplicated","original")</f>
        <v>duplicated</v>
      </c>
      <c r="L410" s="2">
        <f>COUNTIF($D$2:$D410,D410)</f>
        <v>26</v>
      </c>
      <c r="M410" t="str">
        <f xml:space="preserve"> IF(COUNTIF($I$2:$I1178,I410)&gt;1,"duplicated","original")</f>
        <v>duplicated</v>
      </c>
      <c r="N410" s="2">
        <f>COUNTIF($I$2:$I410,I410)</f>
        <v>6</v>
      </c>
      <c r="O410" s="8">
        <f t="shared" si="24"/>
        <v>2.2325759379236296</v>
      </c>
      <c r="P410" s="8">
        <f t="shared" si="25"/>
        <v>2.4031297321936087</v>
      </c>
      <c r="Q410">
        <v>72</v>
      </c>
      <c r="R410" s="9">
        <f t="shared" si="27"/>
        <v>0.15302186118253308</v>
      </c>
      <c r="S410">
        <v>30</v>
      </c>
      <c r="T410" s="9">
        <f t="shared" si="26"/>
        <v>-1.5390198692005379</v>
      </c>
    </row>
    <row r="411" spans="1:20" x14ac:dyDescent="0.25">
      <c r="A411">
        <v>410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>
        <v>1</v>
      </c>
      <c r="K411" t="str">
        <f xml:space="preserve"> IF(COUNTIF($D$2:$D1165,$D$3)&gt;1,"duplicated","original")</f>
        <v>duplicated</v>
      </c>
      <c r="L411" s="2">
        <f>COUNTIF($D$2:$D411,D411)</f>
        <v>25</v>
      </c>
      <c r="M411" t="str">
        <f xml:space="preserve"> IF(COUNTIF($I$2:$I1165,I411)&gt;1,"duplicated","original")</f>
        <v>duplicated</v>
      </c>
      <c r="N411" s="2">
        <f>COUNTIF($I$2:$I411,I411)</f>
        <v>14</v>
      </c>
      <c r="O411" s="8">
        <f t="shared" si="24"/>
        <v>1.0077721376404618</v>
      </c>
      <c r="P411" s="8">
        <f t="shared" si="25"/>
        <v>2.2858187789601945</v>
      </c>
      <c r="Q411">
        <v>72</v>
      </c>
      <c r="R411" s="9">
        <f t="shared" si="27"/>
        <v>0.15302186118253308</v>
      </c>
      <c r="S411">
        <v>30</v>
      </c>
      <c r="T411" s="9">
        <f t="shared" si="26"/>
        <v>-2.1030337793282281</v>
      </c>
    </row>
    <row r="412" spans="1:20" x14ac:dyDescent="0.25">
      <c r="A412">
        <v>411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>
        <v>0</v>
      </c>
      <c r="K412" t="str">
        <f xml:space="preserve"> IF(COUNTIF($D$2:$D1180,D412)&gt;1,"duplicated","original")</f>
        <v>duplicated</v>
      </c>
      <c r="L412" s="2">
        <f>COUNTIF($D$2:$D412,D412)</f>
        <v>11</v>
      </c>
      <c r="M412" t="str">
        <f xml:space="preserve"> IF(COUNTIF($I$2:$I1180,I412)&gt;1,"duplicated","original")</f>
        <v>duplicated</v>
      </c>
      <c r="N412" s="2">
        <f>COUNTIF($I$2:$I412,I412)</f>
        <v>15</v>
      </c>
      <c r="O412" s="8">
        <f t="shared" si="24"/>
        <v>4.5808727682173815</v>
      </c>
      <c r="P412" s="8">
        <f t="shared" si="25"/>
        <v>2.2858187789601945</v>
      </c>
      <c r="Q412">
        <v>72</v>
      </c>
      <c r="R412" s="9">
        <f t="shared" si="27"/>
        <v>0.15302186118253308</v>
      </c>
      <c r="S412">
        <v>30</v>
      </c>
      <c r="T412" s="9">
        <f t="shared" si="26"/>
        <v>-2.1030337793282281</v>
      </c>
    </row>
    <row r="413" spans="1:20" x14ac:dyDescent="0.25">
      <c r="A413">
        <v>412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>
        <v>0</v>
      </c>
      <c r="K413" t="str">
        <f xml:space="preserve"> IF(COUNTIF($D$2:$D1181,D413)&gt;1,"duplicated","original")</f>
        <v>duplicated</v>
      </c>
      <c r="L413" s="2">
        <f>COUNTIF($D$2:$D413,D413)</f>
        <v>27</v>
      </c>
      <c r="M413" t="str">
        <f xml:space="preserve"> IF(COUNTIF($I$2:$I1181,I413)&gt;1,"duplicated","original")</f>
        <v>duplicated</v>
      </c>
      <c r="N413" s="2">
        <f>COUNTIF($I$2:$I413,I413)</f>
        <v>29</v>
      </c>
      <c r="O413" s="8">
        <f t="shared" si="24"/>
        <v>1.7275402509335562</v>
      </c>
      <c r="P413" s="8">
        <f t="shared" si="25"/>
        <v>2.8679204121186967</v>
      </c>
      <c r="Q413">
        <v>72</v>
      </c>
      <c r="R413" s="9">
        <f t="shared" si="27"/>
        <v>0.15302186118253308</v>
      </c>
      <c r="S413">
        <v>30</v>
      </c>
      <c r="T413" s="9">
        <f t="shared" si="26"/>
        <v>-2.2568557548175985</v>
      </c>
    </row>
    <row r="414" spans="1:20" x14ac:dyDescent="0.25">
      <c r="A414">
        <v>413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>
        <v>0</v>
      </c>
      <c r="K414" t="str">
        <f xml:space="preserve"> IF(COUNTIF($D$2:$D1168,$D$3)&gt;1,"duplicated","original")</f>
        <v>duplicated</v>
      </c>
      <c r="L414" s="2">
        <f>COUNTIF($D$2:$D414,D414)</f>
        <v>15</v>
      </c>
      <c r="M414" t="str">
        <f xml:space="preserve"> IF(COUNTIF($I$2:$I1182,I414)&gt;1,"duplicated","original")</f>
        <v>duplicated</v>
      </c>
      <c r="N414" s="2">
        <f>COUNTIF($I$2:$I414,I414)</f>
        <v>35</v>
      </c>
      <c r="O414" s="8">
        <f t="shared" si="24"/>
        <v>3.8709682662863014</v>
      </c>
      <c r="P414" s="8">
        <f t="shared" si="25"/>
        <v>3.3503682618851132</v>
      </c>
      <c r="Q414">
        <v>72</v>
      </c>
      <c r="R414" s="9">
        <f t="shared" si="27"/>
        <v>0.15302186118253308</v>
      </c>
      <c r="S414">
        <v>30</v>
      </c>
      <c r="T414" s="9">
        <f t="shared" si="26"/>
        <v>-2.4106777303069684</v>
      </c>
    </row>
    <row r="415" spans="1:20" x14ac:dyDescent="0.25">
      <c r="A415">
        <v>414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>
        <v>0</v>
      </c>
      <c r="K415" t="str">
        <f xml:space="preserve"> IF(COUNTIF($D$2:$D1183,D415)&gt;1,"duplicated","original")</f>
        <v>duplicated</v>
      </c>
      <c r="L415" s="2">
        <f>COUNTIF($D$2:$D415,D415)</f>
        <v>27</v>
      </c>
      <c r="M415" t="str">
        <f xml:space="preserve"> IF(COUNTIF($I$2:$I1169,I415)&gt;1,"duplicated","original")</f>
        <v>duplicated</v>
      </c>
      <c r="N415" s="2">
        <f>COUNTIF($I$2:$I415,I415)</f>
        <v>33</v>
      </c>
      <c r="O415" s="8">
        <f t="shared" si="24"/>
        <v>2.2325759379236296</v>
      </c>
      <c r="P415" s="8">
        <f t="shared" si="25"/>
        <v>3.4964220984096119</v>
      </c>
      <c r="Q415">
        <v>72</v>
      </c>
      <c r="R415" s="9">
        <f t="shared" si="27"/>
        <v>0.15302186118253308</v>
      </c>
      <c r="S415">
        <v>30</v>
      </c>
      <c r="T415" s="9">
        <f t="shared" si="26"/>
        <v>-2.4619517221367584</v>
      </c>
    </row>
    <row r="416" spans="1:20" x14ac:dyDescent="0.25">
      <c r="A416">
        <v>415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>
        <v>1</v>
      </c>
      <c r="K416" t="str">
        <f xml:space="preserve"> IF(COUNTIF($D$2:$D1184,D416)&gt;1,"duplicated","original")</f>
        <v>duplicated</v>
      </c>
      <c r="L416" s="2">
        <f>COUNTIF($D$2:$D416,D416)</f>
        <v>18</v>
      </c>
      <c r="M416" t="str">
        <f xml:space="preserve"> IF(COUNTIF($I$2:$I1184,I416)&gt;1,"duplicated","original")</f>
        <v>duplicated</v>
      </c>
      <c r="N416" s="2">
        <f>COUNTIF($I$2:$I416,I416)</f>
        <v>34</v>
      </c>
      <c r="O416" s="8">
        <f t="shared" si="24"/>
        <v>3.002599653867366</v>
      </c>
      <c r="P416" s="8">
        <f t="shared" si="25"/>
        <v>3.4964220984096119</v>
      </c>
      <c r="Q416">
        <v>72</v>
      </c>
      <c r="R416" s="9">
        <f t="shared" si="27"/>
        <v>0.15302186118253308</v>
      </c>
      <c r="S416">
        <v>30</v>
      </c>
      <c r="T416" s="9">
        <f t="shared" si="26"/>
        <v>-2.4619517221367584</v>
      </c>
    </row>
    <row r="417" spans="1:20" x14ac:dyDescent="0.25">
      <c r="A417">
        <v>416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>
        <v>1</v>
      </c>
      <c r="K417" t="str">
        <f xml:space="preserve"> IF(COUNTIF($D$2:$D1171,$D$3)&gt;1,"duplicated","original")</f>
        <v>duplicated</v>
      </c>
      <c r="L417" s="2">
        <f>COUNTIF($D$2:$D417,D417)</f>
        <v>16</v>
      </c>
      <c r="M417" t="str">
        <f xml:space="preserve"> IF(COUNTIF($I$2:$I1185,I417)&gt;1,"duplicated","original")</f>
        <v>duplicated</v>
      </c>
      <c r="N417" s="2">
        <f>COUNTIF($I$2:$I417,I417)</f>
        <v>36</v>
      </c>
      <c r="O417" s="8">
        <f t="shared" si="24"/>
        <v>3.8709682662863014</v>
      </c>
      <c r="P417" s="8">
        <f t="shared" si="25"/>
        <v>3.3503682618851132</v>
      </c>
      <c r="Q417">
        <v>72</v>
      </c>
      <c r="R417" s="9">
        <f t="shared" si="27"/>
        <v>0.15302186118253308</v>
      </c>
      <c r="S417">
        <v>30</v>
      </c>
      <c r="T417" s="9">
        <f t="shared" si="26"/>
        <v>-2.4106777303069684</v>
      </c>
    </row>
    <row r="418" spans="1:20" x14ac:dyDescent="0.25">
      <c r="A418">
        <v>417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>
        <v>0</v>
      </c>
      <c r="K418" t="str">
        <f xml:space="preserve"> IF(COUNTIF($D$2:$D1186,D418)&gt;1,"duplicated","original")</f>
        <v>duplicated</v>
      </c>
      <c r="L418" s="2">
        <f>COUNTIF($D$2:$D418,D418)</f>
        <v>26</v>
      </c>
      <c r="M418" t="str">
        <f xml:space="preserve"> IF(COUNTIF($I$2:$I1186,I418)&gt;1,"duplicated","original")</f>
        <v>duplicated</v>
      </c>
      <c r="N418" s="2">
        <f>COUNTIF($I$2:$I418,I418)</f>
        <v>37</v>
      </c>
      <c r="O418" s="8">
        <f t="shared" si="24"/>
        <v>1.0077721376404618</v>
      </c>
      <c r="P418" s="8">
        <f t="shared" si="25"/>
        <v>3.3503682618851132</v>
      </c>
      <c r="Q418">
        <v>72</v>
      </c>
      <c r="R418" s="9">
        <f t="shared" si="27"/>
        <v>0.15302186118253308</v>
      </c>
      <c r="S418">
        <v>30</v>
      </c>
      <c r="T418" s="9">
        <f t="shared" si="26"/>
        <v>-2.4106777303069684</v>
      </c>
    </row>
    <row r="419" spans="1:20" x14ac:dyDescent="0.25">
      <c r="A419">
        <v>418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>
        <v>1</v>
      </c>
      <c r="K419" t="str">
        <f xml:space="preserve"> IF(COUNTIF($D$2:$D1187,D419)&gt;1,"duplicated","original")</f>
        <v>duplicated</v>
      </c>
      <c r="L419" s="2">
        <f>COUNTIF($D$2:$D419,D419)</f>
        <v>16</v>
      </c>
      <c r="M419" t="str">
        <f xml:space="preserve"> IF(COUNTIF($I$2:$I1173,I419)&gt;1,"duplicated","original")</f>
        <v>duplicated</v>
      </c>
      <c r="N419" s="2">
        <f>COUNTIF($I$2:$I419,I419)</f>
        <v>13</v>
      </c>
      <c r="O419" s="8">
        <f t="shared" si="24"/>
        <v>3.6033866457258754</v>
      </c>
      <c r="P419" s="8">
        <f t="shared" si="25"/>
        <v>1.9429442888958308</v>
      </c>
      <c r="Q419">
        <v>72</v>
      </c>
      <c r="R419" s="9">
        <f t="shared" si="27"/>
        <v>0.15302186118253308</v>
      </c>
      <c r="S419">
        <v>30</v>
      </c>
      <c r="T419" s="9">
        <f t="shared" si="26"/>
        <v>-1.6415678528601181</v>
      </c>
    </row>
    <row r="420" spans="1:20" x14ac:dyDescent="0.25">
      <c r="A420">
        <v>419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>
        <v>0</v>
      </c>
      <c r="K420" t="str">
        <f xml:space="preserve"> IF(COUNTIF($D$2:$D1174,$D$3)&gt;1,"duplicated","original")</f>
        <v>duplicated</v>
      </c>
      <c r="L420" s="2">
        <f>COUNTIF($D$2:$D420,D420)</f>
        <v>27</v>
      </c>
      <c r="M420" t="str">
        <f xml:space="preserve"> IF(COUNTIF($I$2:$I1188,I420)&gt;1,"duplicated","original")</f>
        <v>duplicated</v>
      </c>
      <c r="N420" s="2">
        <f>COUNTIF($I$2:$I420,I420)</f>
        <v>17</v>
      </c>
      <c r="O420" s="8">
        <f t="shared" si="24"/>
        <v>1.0077721376404618</v>
      </c>
      <c r="P420" s="8">
        <f t="shared" si="25"/>
        <v>2.4949884749727951</v>
      </c>
      <c r="Q420">
        <v>72</v>
      </c>
      <c r="R420" s="9">
        <f t="shared" si="27"/>
        <v>0.15302186118253308</v>
      </c>
      <c r="S420">
        <v>31</v>
      </c>
      <c r="T420" s="9">
        <f t="shared" si="26"/>
        <v>-2.1543077711580185</v>
      </c>
    </row>
    <row r="421" spans="1:20" x14ac:dyDescent="0.25">
      <c r="A421">
        <v>420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>
        <v>1</v>
      </c>
      <c r="K421" t="str">
        <f xml:space="preserve"> IF(COUNTIF($D$2:$D1189,D421)&gt;1,"duplicated","original")</f>
        <v>duplicated</v>
      </c>
      <c r="L421" s="2">
        <f>COUNTIF($D$2:$D421,D421)</f>
        <v>26</v>
      </c>
      <c r="M421" t="str">
        <f xml:space="preserve"> IF(COUNTIF($I$2:$I1189,I421)&gt;1,"duplicated","original")</f>
        <v>duplicated</v>
      </c>
      <c r="N421" s="2">
        <f>COUNTIF($I$2:$I421,I421)</f>
        <v>16</v>
      </c>
      <c r="O421" s="8">
        <f t="shared" si="24"/>
        <v>2.2395545720978594</v>
      </c>
      <c r="P421" s="8">
        <f t="shared" si="25"/>
        <v>2.2858187789601945</v>
      </c>
      <c r="Q421">
        <v>72</v>
      </c>
      <c r="R421" s="9">
        <f t="shared" si="27"/>
        <v>0.15302186118253308</v>
      </c>
      <c r="S421">
        <v>31</v>
      </c>
      <c r="T421" s="9">
        <f t="shared" si="26"/>
        <v>-2.1030337793282281</v>
      </c>
    </row>
    <row r="422" spans="1:20" x14ac:dyDescent="0.25">
      <c r="A422">
        <v>421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>
        <v>0</v>
      </c>
      <c r="K422" t="str">
        <f xml:space="preserve"> IF(COUNTIF($D$2:$D1190,D422)&gt;1,"duplicated","original")</f>
        <v>duplicated</v>
      </c>
      <c r="L422" s="2">
        <f>COUNTIF($D$2:$D422,D422)</f>
        <v>11</v>
      </c>
      <c r="M422" t="str">
        <f xml:space="preserve"> IF(COUNTIF($I$2:$I1190,I422)&gt;1,"duplicated","original")</f>
        <v>duplicated</v>
      </c>
      <c r="N422" s="2">
        <f>COUNTIF($I$2:$I422,I422)</f>
        <v>19</v>
      </c>
      <c r="O422" s="8">
        <f t="shared" si="24"/>
        <v>4.3571085961444176</v>
      </c>
      <c r="P422" s="8">
        <f t="shared" si="25"/>
        <v>2.6879299637912952</v>
      </c>
      <c r="Q422">
        <v>74</v>
      </c>
      <c r="R422" s="9">
        <f t="shared" si="27"/>
        <v>0.25556984484211315</v>
      </c>
      <c r="S422">
        <v>31</v>
      </c>
      <c r="T422" s="9">
        <f t="shared" si="26"/>
        <v>-2.2055817629878085</v>
      </c>
    </row>
    <row r="423" spans="1:20" x14ac:dyDescent="0.25">
      <c r="A423">
        <v>422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>
        <v>0</v>
      </c>
      <c r="K423" t="str">
        <f xml:space="preserve"> IF(COUNTIF($D$2:$D1177,$D$3)&gt;1,"duplicated","original")</f>
        <v>duplicated</v>
      </c>
      <c r="L423" s="2">
        <f>COUNTIF($D$2:$D423,D423)</f>
        <v>28</v>
      </c>
      <c r="M423" t="str">
        <f xml:space="preserve"> IF(COUNTIF($I$2:$I1177,I423)&gt;1,"duplicated","original")</f>
        <v>duplicated</v>
      </c>
      <c r="N423" s="2">
        <f>COUNTIF($I$2:$I423,I423)</f>
        <v>35</v>
      </c>
      <c r="O423" s="8">
        <f t="shared" si="24"/>
        <v>1.0077721376404618</v>
      </c>
      <c r="P423" s="8">
        <f t="shared" si="25"/>
        <v>3.4964220984096119</v>
      </c>
      <c r="Q423">
        <v>74</v>
      </c>
      <c r="R423" s="9">
        <f t="shared" si="27"/>
        <v>0.25556984484211315</v>
      </c>
      <c r="S423">
        <v>31</v>
      </c>
      <c r="T423" s="9">
        <f t="shared" si="26"/>
        <v>-2.4619517221367584</v>
      </c>
    </row>
    <row r="424" spans="1:20" x14ac:dyDescent="0.25">
      <c r="A424">
        <v>423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>
        <v>0</v>
      </c>
      <c r="K424" t="str">
        <f xml:space="preserve"> IF(COUNTIF($D$2:$D1192,D424)&gt;1,"duplicated","original")</f>
        <v>duplicated</v>
      </c>
      <c r="L424" s="2">
        <f>COUNTIF($D$2:$D424,D424)</f>
        <v>27</v>
      </c>
      <c r="M424" t="str">
        <f xml:space="preserve"> IF(COUNTIF($I$2:$I1192,I424)&gt;1,"duplicated","original")</f>
        <v>duplicated</v>
      </c>
      <c r="N424" s="2">
        <f>COUNTIF($I$2:$I424,I424)</f>
        <v>36</v>
      </c>
      <c r="O424" s="8">
        <f t="shared" si="24"/>
        <v>2.2395545720978594</v>
      </c>
      <c r="P424" s="8">
        <f t="shared" si="25"/>
        <v>3.4964220984096119</v>
      </c>
      <c r="Q424">
        <v>74</v>
      </c>
      <c r="R424" s="9">
        <f t="shared" si="27"/>
        <v>0.25556984484211315</v>
      </c>
      <c r="S424">
        <v>31</v>
      </c>
      <c r="T424" s="9">
        <f t="shared" si="26"/>
        <v>-2.4619517221367584</v>
      </c>
    </row>
    <row r="425" spans="1:20" x14ac:dyDescent="0.25">
      <c r="A425">
        <v>424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>
        <v>0</v>
      </c>
      <c r="K425" t="str">
        <f xml:space="preserve"> IF(COUNTIF($D$2:$D1193,D425)&gt;1,"duplicated","original")</f>
        <v>duplicated</v>
      </c>
      <c r="L425" s="2">
        <f>COUNTIF($D$2:$D425,D425)</f>
        <v>28</v>
      </c>
      <c r="M425" t="str">
        <f xml:space="preserve"> IF(COUNTIF($I$2:$I1193,I425)&gt;1,"duplicated","original")</f>
        <v>duplicated</v>
      </c>
      <c r="N425" s="2">
        <f>COUNTIF($I$2:$I425,I425)</f>
        <v>37</v>
      </c>
      <c r="O425" s="8">
        <f t="shared" si="24"/>
        <v>2.2395545720978594</v>
      </c>
      <c r="P425" s="8">
        <f t="shared" si="25"/>
        <v>3.4964220984096119</v>
      </c>
      <c r="Q425">
        <v>74</v>
      </c>
      <c r="R425" s="9">
        <f t="shared" si="27"/>
        <v>0.25556984484211315</v>
      </c>
      <c r="S425">
        <v>31</v>
      </c>
      <c r="T425" s="9">
        <f t="shared" si="26"/>
        <v>-2.4619517221367584</v>
      </c>
    </row>
    <row r="426" spans="1:20" x14ac:dyDescent="0.25">
      <c r="A426">
        <v>425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>
        <v>1</v>
      </c>
      <c r="K426" t="str">
        <f xml:space="preserve"> IF(COUNTIF($D$2:$D1180,$D$3)&gt;1,"duplicated","original")</f>
        <v>duplicated</v>
      </c>
      <c r="L426" s="2">
        <f>COUNTIF($D$2:$D426,D426)</f>
        <v>21</v>
      </c>
      <c r="M426" t="str">
        <f xml:space="preserve"> IF(COUNTIF($I$2:$I1194,I426)&gt;1,"duplicated","original")</f>
        <v>duplicated</v>
      </c>
      <c r="N426" s="2">
        <f>COUNTIF($I$2:$I426,I426)</f>
        <v>11</v>
      </c>
      <c r="O426" s="8">
        <f t="shared" si="24"/>
        <v>2.9973980914445737</v>
      </c>
      <c r="P426" s="8">
        <f t="shared" si="25"/>
        <v>1.6658428826731906</v>
      </c>
      <c r="Q426">
        <v>74</v>
      </c>
      <c r="R426" s="9">
        <f t="shared" si="27"/>
        <v>0.25556984484211315</v>
      </c>
      <c r="S426">
        <v>31</v>
      </c>
      <c r="T426" s="9">
        <f t="shared" si="26"/>
        <v>-1.6928418446899081</v>
      </c>
    </row>
    <row r="427" spans="1:20" x14ac:dyDescent="0.25">
      <c r="A427">
        <v>426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>
        <v>1</v>
      </c>
      <c r="K427" t="str">
        <f xml:space="preserve"> IF(COUNTIF($D$2:$D1195,D427)&gt;1,"duplicated","original")</f>
        <v>duplicated</v>
      </c>
      <c r="L427" s="2">
        <f>COUNTIF($D$2:$D427,D427)</f>
        <v>22</v>
      </c>
      <c r="M427" t="str">
        <f xml:space="preserve"> IF(COUNTIF($I$2:$I1181,I427)&gt;1,"duplicated","original")</f>
        <v>duplicated</v>
      </c>
      <c r="N427" s="2">
        <f>COUNTIF($I$2:$I427,I427)</f>
        <v>14</v>
      </c>
      <c r="O427" s="8">
        <f t="shared" si="24"/>
        <v>2.9973980914445737</v>
      </c>
      <c r="P427" s="8">
        <f t="shared" si="25"/>
        <v>1.4916324916838848</v>
      </c>
      <c r="Q427">
        <v>74</v>
      </c>
      <c r="R427" s="9">
        <f t="shared" si="27"/>
        <v>0.25556984484211315</v>
      </c>
      <c r="S427">
        <v>31</v>
      </c>
      <c r="T427" s="9">
        <f t="shared" si="26"/>
        <v>-1.9492118038388582</v>
      </c>
    </row>
    <row r="428" spans="1:20" x14ac:dyDescent="0.25">
      <c r="A428">
        <v>427</v>
      </c>
      <c r="B428">
        <v>0</v>
      </c>
      <c r="C428">
        <v>94</v>
      </c>
      <c r="D428">
        <v>0</v>
      </c>
      <c r="E428">
        <v>0</v>
      </c>
      <c r="F428">
        <v>0</v>
      </c>
      <c r="G428">
        <v>0</v>
      </c>
      <c r="H428">
        <v>0.25600000000000001</v>
      </c>
      <c r="I428">
        <v>25</v>
      </c>
      <c r="J428">
        <v>0</v>
      </c>
      <c r="K428" t="str">
        <f xml:space="preserve"> IF(COUNTIF($D$2:$D1196,D428)&gt;1,"duplicated","original")</f>
        <v>duplicated</v>
      </c>
      <c r="L428" s="2">
        <f>COUNTIF($D$2:$D428,D428)</f>
        <v>18</v>
      </c>
      <c r="M428" t="str">
        <f xml:space="preserve"> IF(COUNTIF($I$2:$I1196,I428)&gt;1,"duplicated","original")</f>
        <v>duplicated</v>
      </c>
      <c r="N428" s="2">
        <f>COUNTIF($I$2:$I428,I428)</f>
        <v>30</v>
      </c>
      <c r="O428" s="8">
        <f t="shared" si="24"/>
        <v>8.3075631012592623</v>
      </c>
      <c r="P428" s="8">
        <f t="shared" si="25"/>
        <v>2.8679204121186967</v>
      </c>
      <c r="Q428">
        <v>74</v>
      </c>
      <c r="R428" s="9">
        <f t="shared" si="27"/>
        <v>0.25556984484211315</v>
      </c>
      <c r="S428">
        <v>31</v>
      </c>
      <c r="T428" s="9">
        <f t="shared" si="26"/>
        <v>-2.2568557548175985</v>
      </c>
    </row>
    <row r="429" spans="1:20" x14ac:dyDescent="0.25">
      <c r="A429">
        <v>428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>
        <v>1</v>
      </c>
      <c r="K429" t="str">
        <f xml:space="preserve"> IF(COUNTIF($D$2:$D1183,$D$3)&gt;1,"duplicated","original")</f>
        <v>duplicated</v>
      </c>
      <c r="L429" s="2">
        <f>COUNTIF($D$2:$D429,D429)</f>
        <v>29</v>
      </c>
      <c r="M429" t="str">
        <f xml:space="preserve"> IF(COUNTIF($I$2:$I1197,I429)&gt;1,"duplicated","original")</f>
        <v>duplicated</v>
      </c>
      <c r="N429" s="2">
        <f>COUNTIF($I$2:$I429,I429)</f>
        <v>8</v>
      </c>
      <c r="O429" s="8">
        <f t="shared" si="24"/>
        <v>2.2395545720978594</v>
      </c>
      <c r="P429" s="8">
        <f t="shared" si="25"/>
        <v>2.1851847770275459</v>
      </c>
      <c r="Q429">
        <v>74</v>
      </c>
      <c r="R429" s="9">
        <f t="shared" si="27"/>
        <v>0.25556984484211315</v>
      </c>
      <c r="S429">
        <v>31</v>
      </c>
      <c r="T429" s="9">
        <f t="shared" si="26"/>
        <v>-1.5902938610303279</v>
      </c>
    </row>
    <row r="430" spans="1:20" x14ac:dyDescent="0.25">
      <c r="A430">
        <v>429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>
        <v>0</v>
      </c>
      <c r="K430" t="str">
        <f xml:space="preserve"> IF(COUNTIF($D$2:$D1198,D430)&gt;1,"duplicated","original")</f>
        <v>duplicated</v>
      </c>
      <c r="L430" s="2">
        <f>COUNTIF($D$2:$D430,D430)</f>
        <v>2</v>
      </c>
      <c r="M430" t="str">
        <f xml:space="preserve"> IF(COUNTIF($I$2:$I1198,I430)&gt;1,"duplicated","original")</f>
        <v>duplicated</v>
      </c>
      <c r="N430" s="2">
        <f>COUNTIF($I$2:$I430,I430)</f>
        <v>20</v>
      </c>
      <c r="O430" s="8">
        <f t="shared" si="24"/>
        <v>4.9984392882774493</v>
      </c>
      <c r="P430" s="8">
        <f t="shared" si="25"/>
        <v>2.6879299637912952</v>
      </c>
      <c r="Q430">
        <v>74</v>
      </c>
      <c r="R430" s="9">
        <f t="shared" si="27"/>
        <v>0.25556984484211315</v>
      </c>
      <c r="S430">
        <v>31</v>
      </c>
      <c r="T430" s="9">
        <f t="shared" si="26"/>
        <v>-2.2055817629878085</v>
      </c>
    </row>
    <row r="431" spans="1:20" x14ac:dyDescent="0.25">
      <c r="A431">
        <v>430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>
        <v>1</v>
      </c>
      <c r="K431" t="str">
        <f xml:space="preserve"> IF(COUNTIF($D$2:$D1199,D431)&gt;1,"duplicated","original")</f>
        <v>duplicated</v>
      </c>
      <c r="L431" s="2">
        <f>COUNTIF($D$2:$D431,D431)</f>
        <v>17</v>
      </c>
      <c r="M431" t="str">
        <f xml:space="preserve"> IF(COUNTIF($I$2:$I1185,I431)&gt;1,"duplicated","original")</f>
        <v>duplicated</v>
      </c>
      <c r="N431" s="2">
        <f>COUNTIF($I$2:$I431,I431)</f>
        <v>7</v>
      </c>
      <c r="O431" s="8">
        <f t="shared" si="24"/>
        <v>3.6033866457258754</v>
      </c>
      <c r="P431" s="8">
        <f t="shared" si="25"/>
        <v>3.1265048392338888</v>
      </c>
      <c r="Q431">
        <v>74</v>
      </c>
      <c r="R431" s="9">
        <f t="shared" si="27"/>
        <v>0.25556984484211315</v>
      </c>
      <c r="S431">
        <v>31</v>
      </c>
      <c r="T431" s="9">
        <f t="shared" si="26"/>
        <v>-1.3339239018813778</v>
      </c>
    </row>
    <row r="432" spans="1:20" x14ac:dyDescent="0.25">
      <c r="A432">
        <v>431</v>
      </c>
      <c r="B432">
        <v>2</v>
      </c>
      <c r="C432">
        <v>99</v>
      </c>
      <c r="D432">
        <v>0</v>
      </c>
      <c r="E432">
        <v>0</v>
      </c>
      <c r="F432">
        <v>0</v>
      </c>
      <c r="G432">
        <v>22.2</v>
      </c>
      <c r="H432">
        <v>0.108</v>
      </c>
      <c r="I432">
        <v>23</v>
      </c>
      <c r="J432">
        <v>0</v>
      </c>
      <c r="K432" t="str">
        <f xml:space="preserve"> IF(COUNTIF($D$2:$D1186,$D$3)&gt;1,"duplicated","original")</f>
        <v>duplicated</v>
      </c>
      <c r="L432" s="2">
        <f>COUNTIF($D$2:$D432,D432)</f>
        <v>19</v>
      </c>
      <c r="M432" t="str">
        <f xml:space="preserve"> IF(COUNTIF($I$2:$I1200,I432)&gt;1,"duplicated","original")</f>
        <v>duplicated</v>
      </c>
      <c r="N432" s="2">
        <f>COUNTIF($I$2:$I432,I432)</f>
        <v>20</v>
      </c>
      <c r="O432" s="8">
        <f t="shared" si="24"/>
        <v>8.3075631012592623</v>
      </c>
      <c r="P432" s="8">
        <f t="shared" si="25"/>
        <v>3.1976503076864229</v>
      </c>
      <c r="Q432">
        <v>74</v>
      </c>
      <c r="R432" s="9">
        <f t="shared" si="27"/>
        <v>0.25556984484211315</v>
      </c>
      <c r="S432">
        <v>31</v>
      </c>
      <c r="T432" s="9">
        <f t="shared" si="26"/>
        <v>-2.3594037384771784</v>
      </c>
    </row>
    <row r="433" spans="1:20" x14ac:dyDescent="0.25">
      <c r="A433">
        <v>432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>
        <v>0</v>
      </c>
      <c r="K433" t="str">
        <f xml:space="preserve"> IF(COUNTIF($D$2:$D1201,D433)&gt;1,"duplicated","original")</f>
        <v>duplicated</v>
      </c>
      <c r="L433" s="2">
        <f>COUNTIF($D$2:$D433,D433)</f>
        <v>28</v>
      </c>
      <c r="M433" t="str">
        <f xml:space="preserve"> IF(COUNTIF($I$2:$I1201,I433)&gt;1,"duplicated","original")</f>
        <v>duplicated</v>
      </c>
      <c r="N433" s="2">
        <f>COUNTIF($I$2:$I433,I433)</f>
        <v>9</v>
      </c>
      <c r="O433" s="8">
        <f t="shared" si="24"/>
        <v>2.2325759379236296</v>
      </c>
      <c r="P433" s="8">
        <f t="shared" si="25"/>
        <v>2.1851847770275459</v>
      </c>
      <c r="Q433">
        <v>74</v>
      </c>
      <c r="R433" s="9">
        <f t="shared" si="27"/>
        <v>0.25556984484211315</v>
      </c>
      <c r="S433">
        <v>31</v>
      </c>
      <c r="T433" s="9">
        <f t="shared" si="26"/>
        <v>-1.5902938610303279</v>
      </c>
    </row>
    <row r="434" spans="1:20" x14ac:dyDescent="0.25">
      <c r="A434">
        <v>433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>
        <v>0</v>
      </c>
      <c r="K434" t="str">
        <f xml:space="preserve"> IF(COUNTIF($D$2:$D1202,D434)&gt;1,"duplicated","original")</f>
        <v>duplicated</v>
      </c>
      <c r="L434" s="2">
        <f>COUNTIF($D$2:$D434,D434)</f>
        <v>29</v>
      </c>
      <c r="M434" t="str">
        <f xml:space="preserve"> IF(COUNTIF($I$2:$I1202,I434)&gt;1,"duplicated","original")</f>
        <v>duplicated</v>
      </c>
      <c r="N434" s="2">
        <f>COUNTIF($I$2:$I434,I434)</f>
        <v>38</v>
      </c>
      <c r="O434" s="8">
        <f t="shared" si="24"/>
        <v>2.2325759379236296</v>
      </c>
      <c r="P434" s="8">
        <f t="shared" si="25"/>
        <v>3.3503682618851132</v>
      </c>
      <c r="Q434">
        <v>74</v>
      </c>
      <c r="R434" s="9">
        <f t="shared" si="27"/>
        <v>0.25556984484211315</v>
      </c>
      <c r="S434">
        <v>31</v>
      </c>
      <c r="T434" s="9">
        <f t="shared" si="26"/>
        <v>-2.4106777303069684</v>
      </c>
    </row>
    <row r="435" spans="1:20" x14ac:dyDescent="0.25">
      <c r="A435">
        <v>434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>
        <v>0</v>
      </c>
      <c r="K435" t="str">
        <f xml:space="preserve"> IF(COUNTIF($D$2:$D1189,$D$3)&gt;1,"duplicated","original")</f>
        <v>duplicated</v>
      </c>
      <c r="L435" s="2">
        <f>COUNTIF($D$2:$D435,D435)</f>
        <v>6</v>
      </c>
      <c r="M435" t="str">
        <f xml:space="preserve"> IF(COUNTIF($I$2:$I1189,I435)&gt;1,"duplicated","original")</f>
        <v>duplicated</v>
      </c>
      <c r="N435" s="2">
        <f>COUNTIF($I$2:$I435,I435)</f>
        <v>21</v>
      </c>
      <c r="O435" s="8">
        <f t="shared" si="24"/>
        <v>2.4463023767710266</v>
      </c>
      <c r="P435" s="8">
        <f t="shared" si="25"/>
        <v>2.0554725710276638</v>
      </c>
      <c r="Q435">
        <v>74</v>
      </c>
      <c r="R435" s="9">
        <f t="shared" si="27"/>
        <v>0.25556984484211315</v>
      </c>
      <c r="S435">
        <v>31</v>
      </c>
      <c r="T435" s="9">
        <f t="shared" si="26"/>
        <v>-2.0517597874984381</v>
      </c>
    </row>
    <row r="436" spans="1:20" x14ac:dyDescent="0.25">
      <c r="A436">
        <v>435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>
        <v>0</v>
      </c>
      <c r="K436" t="str">
        <f xml:space="preserve"> IF(COUNTIF($D$2:$D1204,D436)&gt;1,"duplicated","original")</f>
        <v>duplicated</v>
      </c>
      <c r="L436" s="2">
        <f>COUNTIF($D$2:$D436,D436)</f>
        <v>29</v>
      </c>
      <c r="M436" t="str">
        <f xml:space="preserve"> IF(COUNTIF($I$2:$I1204,I436)&gt;1,"duplicated","original")</f>
        <v>duplicated</v>
      </c>
      <c r="N436" s="2">
        <f>COUNTIF($I$2:$I436,I436)</f>
        <v>12</v>
      </c>
      <c r="O436" s="8">
        <f t="shared" si="24"/>
        <v>1.0077721376404618</v>
      </c>
      <c r="P436" s="8">
        <f t="shared" si="25"/>
        <v>1.6658428826731906</v>
      </c>
      <c r="Q436">
        <v>74</v>
      </c>
      <c r="R436" s="9">
        <f t="shared" si="27"/>
        <v>0.25556984484211315</v>
      </c>
      <c r="S436">
        <v>31</v>
      </c>
      <c r="T436" s="9">
        <f t="shared" si="26"/>
        <v>-1.6928418446899081</v>
      </c>
    </row>
    <row r="437" spans="1:20" x14ac:dyDescent="0.25">
      <c r="A437">
        <v>436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>
        <v>1</v>
      </c>
      <c r="K437" t="str">
        <f xml:space="preserve"> IF(COUNTIF($D$2:$D1205,D437)&gt;1,"duplicated","original")</f>
        <v>duplicated</v>
      </c>
      <c r="L437" s="2">
        <f>COUNTIF($D$2:$D437,D437)</f>
        <v>20</v>
      </c>
      <c r="M437" t="str">
        <f xml:space="preserve"> IF(COUNTIF($I$2:$I1205,I437)&gt;1,"duplicated","original")</f>
        <v>duplicated</v>
      </c>
      <c r="N437" s="2">
        <f>COUNTIF($I$2:$I437,I437)</f>
        <v>22</v>
      </c>
      <c r="O437" s="8">
        <f t="shared" si="24"/>
        <v>8.3075631012592623</v>
      </c>
      <c r="P437" s="8">
        <f t="shared" si="25"/>
        <v>2.0554725710276638</v>
      </c>
      <c r="Q437">
        <v>74</v>
      </c>
      <c r="R437" s="9">
        <f t="shared" si="27"/>
        <v>0.25556984484211315</v>
      </c>
      <c r="S437">
        <v>31</v>
      </c>
      <c r="T437" s="9">
        <f t="shared" si="26"/>
        <v>-2.0517597874984381</v>
      </c>
    </row>
    <row r="438" spans="1:20" x14ac:dyDescent="0.25">
      <c r="A438">
        <v>437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>
        <v>0</v>
      </c>
      <c r="K438" t="str">
        <f xml:space="preserve"> IF(COUNTIF($D$2:$D1192,$D$3)&gt;1,"duplicated","original")</f>
        <v>duplicated</v>
      </c>
      <c r="L438" s="2">
        <f>COUNTIF($D$2:$D438,D438)</f>
        <v>5</v>
      </c>
      <c r="M438" t="str">
        <f xml:space="preserve"> IF(COUNTIF($I$2:$I1206,I438)&gt;1,"duplicated","original")</f>
        <v>duplicated</v>
      </c>
      <c r="N438" s="2">
        <f>COUNTIF($I$2:$I438,I438)</f>
        <v>15</v>
      </c>
      <c r="O438" s="8">
        <f t="shared" si="24"/>
        <v>3.9980489389945659</v>
      </c>
      <c r="P438" s="8">
        <f t="shared" si="25"/>
        <v>2.7883745282427403</v>
      </c>
      <c r="Q438">
        <v>74</v>
      </c>
      <c r="R438" s="9">
        <f t="shared" si="27"/>
        <v>0.25556984484211315</v>
      </c>
      <c r="S438">
        <v>31</v>
      </c>
      <c r="T438" s="9">
        <f t="shared" si="26"/>
        <v>-1.4364718855409579</v>
      </c>
    </row>
    <row r="439" spans="1:20" x14ac:dyDescent="0.25">
      <c r="A439">
        <v>438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>
        <v>0</v>
      </c>
      <c r="K439" t="str">
        <f xml:space="preserve"> IF(COUNTIF($D$2:$D1207,D439)&gt;1,"duplicated","original")</f>
        <v>duplicated</v>
      </c>
      <c r="L439" s="2">
        <f>COUNTIF($D$2:$D439,D439)</f>
        <v>7</v>
      </c>
      <c r="M439" t="str">
        <f xml:space="preserve"> IF(COUNTIF($I$2:$I1193,I439)&gt;1,"duplicated","original")</f>
        <v>duplicated</v>
      </c>
      <c r="N439" s="2">
        <f>COUNTIF($I$2:$I439,I439)</f>
        <v>17</v>
      </c>
      <c r="O439" s="8">
        <f t="shared" si="24"/>
        <v>2.4463023767710266</v>
      </c>
      <c r="P439" s="8">
        <f t="shared" si="25"/>
        <v>2.2858187789601945</v>
      </c>
      <c r="Q439">
        <v>74</v>
      </c>
      <c r="R439" s="9">
        <f t="shared" si="27"/>
        <v>0.25556984484211315</v>
      </c>
      <c r="S439">
        <v>31</v>
      </c>
      <c r="T439" s="9">
        <f t="shared" si="26"/>
        <v>-2.1030337793282281</v>
      </c>
    </row>
    <row r="440" spans="1:20" x14ac:dyDescent="0.25">
      <c r="A440">
        <v>439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>
        <v>0</v>
      </c>
      <c r="K440" t="str">
        <f xml:space="preserve"> IF(COUNTIF($D$2:$D1208,D440)&gt;1,"duplicated","original")</f>
        <v>duplicated</v>
      </c>
      <c r="L440" s="2">
        <f>COUNTIF($D$2:$D440,D440)</f>
        <v>31</v>
      </c>
      <c r="M440" t="str">
        <f xml:space="preserve"> IF(COUNTIF($I$2:$I1208,I440)&gt;1,"duplicated","original")</f>
        <v>duplicated</v>
      </c>
      <c r="N440" s="2">
        <f>COUNTIF($I$2:$I440,I440)</f>
        <v>38</v>
      </c>
      <c r="O440" s="8">
        <f t="shared" si="24"/>
        <v>0.99216698120607405</v>
      </c>
      <c r="P440" s="8">
        <f t="shared" si="25"/>
        <v>3.4964220984096119</v>
      </c>
      <c r="Q440">
        <v>74</v>
      </c>
      <c r="R440" s="9">
        <f t="shared" si="27"/>
        <v>0.25556984484211315</v>
      </c>
      <c r="S440">
        <v>31</v>
      </c>
      <c r="T440" s="9">
        <f t="shared" si="26"/>
        <v>-2.4619517221367584</v>
      </c>
    </row>
    <row r="441" spans="1:20" x14ac:dyDescent="0.25">
      <c r="A441">
        <v>440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>
        <v>0</v>
      </c>
      <c r="K441" t="str">
        <f xml:space="preserve"> IF(COUNTIF($D$2:$D1195,$D$3)&gt;1,"duplicated","original")</f>
        <v>duplicated</v>
      </c>
      <c r="L441" s="2">
        <f>COUNTIF($D$2:$D441,D441)</f>
        <v>12</v>
      </c>
      <c r="M441" t="str">
        <f xml:space="preserve"> IF(COUNTIF($I$2:$I1209,I441)&gt;1,"duplicated","original")</f>
        <v>duplicated</v>
      </c>
      <c r="N441" s="2">
        <f>COUNTIF($I$2:$I441,I441)</f>
        <v>15</v>
      </c>
      <c r="O441" s="8">
        <f t="shared" si="24"/>
        <v>4.3571085961444176</v>
      </c>
      <c r="P441" s="8">
        <f t="shared" si="25"/>
        <v>1.4916324916838848</v>
      </c>
      <c r="Q441">
        <v>74</v>
      </c>
      <c r="R441" s="9">
        <f t="shared" si="27"/>
        <v>0.25556984484211315</v>
      </c>
      <c r="S441">
        <v>31</v>
      </c>
      <c r="T441" s="9">
        <f t="shared" si="26"/>
        <v>-1.9492118038388582</v>
      </c>
    </row>
    <row r="442" spans="1:20" x14ac:dyDescent="0.25">
      <c r="A442">
        <v>441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>
        <v>1</v>
      </c>
      <c r="K442" t="str">
        <f xml:space="preserve"> IF(COUNTIF($D$2:$D1210,D442)&gt;1,"duplicated","original")</f>
        <v>duplicated</v>
      </c>
      <c r="L442" s="2">
        <f>COUNTIF($D$2:$D442,D442)</f>
        <v>2</v>
      </c>
      <c r="M442" t="str">
        <f xml:space="preserve"> IF(COUNTIF($I$2:$I1210,I442)&gt;1,"duplicated","original")</f>
        <v>duplicated</v>
      </c>
      <c r="N442" s="2">
        <f>COUNTIF($I$2:$I442,I442)</f>
        <v>16</v>
      </c>
      <c r="O442" s="8">
        <f t="shared" si="24"/>
        <v>5.9147607997784304</v>
      </c>
      <c r="P442" s="8">
        <f t="shared" si="25"/>
        <v>2.7883745282427403</v>
      </c>
      <c r="Q442">
        <v>74</v>
      </c>
      <c r="R442" s="9">
        <f t="shared" si="27"/>
        <v>0.25556984484211315</v>
      </c>
      <c r="S442">
        <v>31</v>
      </c>
      <c r="T442" s="9">
        <f t="shared" si="26"/>
        <v>-1.4364718855409579</v>
      </c>
    </row>
    <row r="443" spans="1:20" x14ac:dyDescent="0.25">
      <c r="A443">
        <v>442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>
        <v>0</v>
      </c>
      <c r="K443" t="str">
        <f xml:space="preserve"> IF(COUNTIF($D$2:$D1211,D443)&gt;1,"duplicated","original")</f>
        <v>duplicated</v>
      </c>
      <c r="L443" s="2">
        <f>COUNTIF($D$2:$D443,D443)</f>
        <v>22</v>
      </c>
      <c r="M443" t="str">
        <f xml:space="preserve"> IF(COUNTIF($I$2:$I1197,I443)&gt;1,"duplicated","original")</f>
        <v>duplicated</v>
      </c>
      <c r="N443" s="2">
        <f>COUNTIF($I$2:$I443,I443)</f>
        <v>39</v>
      </c>
      <c r="O443" s="8">
        <f t="shared" si="24"/>
        <v>1.7365496484133203</v>
      </c>
      <c r="P443" s="8">
        <f t="shared" si="25"/>
        <v>3.3503682618851132</v>
      </c>
      <c r="Q443">
        <v>74</v>
      </c>
      <c r="R443" s="9">
        <f t="shared" si="27"/>
        <v>0.25556984484211315</v>
      </c>
      <c r="S443">
        <v>31</v>
      </c>
      <c r="T443" s="9">
        <f t="shared" si="26"/>
        <v>-2.4106777303069684</v>
      </c>
    </row>
    <row r="444" spans="1:20" x14ac:dyDescent="0.25">
      <c r="A444">
        <v>443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>
        <v>0</v>
      </c>
      <c r="K444" t="str">
        <f xml:space="preserve"> IF(COUNTIF($D$2:$D1198,$D$3)&gt;1,"duplicated","original")</f>
        <v>duplicated</v>
      </c>
      <c r="L444" s="2">
        <f>COUNTIF($D$2:$D444,D444)</f>
        <v>30</v>
      </c>
      <c r="M444" t="str">
        <f xml:space="preserve"> IF(COUNTIF($I$2:$I1212,I444)&gt;1,"duplicated","original")</f>
        <v>duplicated</v>
      </c>
      <c r="N444" s="2">
        <f>COUNTIF($I$2:$I444,I444)</f>
        <v>25</v>
      </c>
      <c r="O444" s="8">
        <f t="shared" si="24"/>
        <v>2.2395545720978594</v>
      </c>
      <c r="P444" s="8">
        <f t="shared" si="25"/>
        <v>3.0372631578852487</v>
      </c>
      <c r="Q444">
        <v>74</v>
      </c>
      <c r="R444" s="9">
        <f t="shared" si="27"/>
        <v>0.25556984484211315</v>
      </c>
      <c r="S444">
        <v>32</v>
      </c>
      <c r="T444" s="9">
        <f t="shared" si="26"/>
        <v>-2.3081297466473885</v>
      </c>
    </row>
    <row r="445" spans="1:20" x14ac:dyDescent="0.25">
      <c r="A445">
        <v>444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>
        <v>1</v>
      </c>
      <c r="K445" t="str">
        <f xml:space="preserve"> IF(COUNTIF($D$2:$D1213,D445)&gt;1,"duplicated","original")</f>
        <v>duplicated</v>
      </c>
      <c r="L445" s="2">
        <f>COUNTIF($D$2:$D445,D445)</f>
        <v>32</v>
      </c>
      <c r="M445" t="str">
        <f xml:space="preserve"> IF(COUNTIF($I$2:$I1213,I445)&gt;1,"duplicated","original")</f>
        <v>duplicated</v>
      </c>
      <c r="N445" s="2">
        <f>COUNTIF($I$2:$I445,I445)</f>
        <v>13</v>
      </c>
      <c r="O445" s="8">
        <f t="shared" si="24"/>
        <v>0.99216698120607405</v>
      </c>
      <c r="P445" s="8">
        <f t="shared" si="25"/>
        <v>0.47430737949885876</v>
      </c>
      <c r="Q445">
        <v>74</v>
      </c>
      <c r="R445" s="9">
        <f t="shared" si="27"/>
        <v>0.25556984484211315</v>
      </c>
      <c r="S445">
        <v>32</v>
      </c>
      <c r="T445" s="9">
        <f t="shared" si="26"/>
        <v>-1.8466638201792782</v>
      </c>
    </row>
    <row r="446" spans="1:20" x14ac:dyDescent="0.25">
      <c r="A446">
        <v>445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>
        <v>1</v>
      </c>
      <c r="K446" t="str">
        <f xml:space="preserve"> IF(COUNTIF($D$2:$D1214,D446)&gt;1,"duplicated","original")</f>
        <v>duplicated</v>
      </c>
      <c r="L446" s="2">
        <f>COUNTIF($D$2:$D446,D446)</f>
        <v>19</v>
      </c>
      <c r="M446" t="str">
        <f xml:space="preserve"> IF(COUNTIF($I$2:$I1214,I446)&gt;1,"duplicated","original")</f>
        <v>duplicated</v>
      </c>
      <c r="N446" s="2">
        <f>COUNTIF($I$2:$I446,I446)</f>
        <v>14</v>
      </c>
      <c r="O446" s="8">
        <f t="shared" si="24"/>
        <v>2.648698676974115</v>
      </c>
      <c r="P446" s="8">
        <f t="shared" si="25"/>
        <v>1.7958194481202931</v>
      </c>
      <c r="Q446">
        <v>74</v>
      </c>
      <c r="R446" s="9">
        <f t="shared" si="27"/>
        <v>0.25556984484211315</v>
      </c>
      <c r="S446">
        <v>32</v>
      </c>
      <c r="T446" s="9">
        <f t="shared" si="26"/>
        <v>-2.0004857956686481</v>
      </c>
    </row>
    <row r="447" spans="1:20" x14ac:dyDescent="0.25">
      <c r="A447">
        <v>446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>
        <v>1</v>
      </c>
      <c r="K447" t="str">
        <f xml:space="preserve"> IF(COUNTIF($D$2:$D1201,$D$3)&gt;1,"duplicated","original")</f>
        <v>duplicated</v>
      </c>
      <c r="L447" s="2">
        <f>COUNTIF($D$2:$D447,D447)</f>
        <v>23</v>
      </c>
      <c r="M447" t="str">
        <f xml:space="preserve"> IF(COUNTIF($I$2:$I1201,I447)&gt;1,"duplicated","original")</f>
        <v>duplicated</v>
      </c>
      <c r="N447" s="2">
        <f>COUNTIF($I$2:$I447,I447)</f>
        <v>31</v>
      </c>
      <c r="O447" s="8">
        <f t="shared" si="24"/>
        <v>2.9973980914445737</v>
      </c>
      <c r="P447" s="8">
        <f t="shared" si="25"/>
        <v>2.8679204121186967</v>
      </c>
      <c r="Q447">
        <v>74</v>
      </c>
      <c r="R447" s="9">
        <f t="shared" si="27"/>
        <v>0.25556984484211315</v>
      </c>
      <c r="S447">
        <v>32</v>
      </c>
      <c r="T447" s="9">
        <f t="shared" si="26"/>
        <v>-2.2568557548175985</v>
      </c>
    </row>
    <row r="448" spans="1:20" x14ac:dyDescent="0.25">
      <c r="A448">
        <v>447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>
        <v>0</v>
      </c>
      <c r="K448" t="str">
        <f xml:space="preserve"> IF(COUNTIF($D$2:$D1216,D448)&gt;1,"duplicated","original")</f>
        <v>duplicated</v>
      </c>
      <c r="L448" s="2">
        <f>COUNTIF($D$2:$D448,D448)</f>
        <v>28</v>
      </c>
      <c r="M448" t="str">
        <f xml:space="preserve"> IF(COUNTIF($I$2:$I1216,I448)&gt;1,"duplicated","original")</f>
        <v>duplicated</v>
      </c>
      <c r="N448" s="2">
        <f>COUNTIF($I$2:$I448,I448)</f>
        <v>18</v>
      </c>
      <c r="O448" s="8">
        <f t="shared" si="24"/>
        <v>1.7275402509335562</v>
      </c>
      <c r="P448" s="8">
        <f t="shared" si="25"/>
        <v>2.2858187789601945</v>
      </c>
      <c r="Q448">
        <v>74</v>
      </c>
      <c r="R448" s="9">
        <f t="shared" si="27"/>
        <v>0.25556984484211315</v>
      </c>
      <c r="S448">
        <v>32</v>
      </c>
      <c r="T448" s="9">
        <f t="shared" si="26"/>
        <v>-2.1030337793282281</v>
      </c>
    </row>
    <row r="449" spans="1:20" x14ac:dyDescent="0.25">
      <c r="A449">
        <v>448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>
        <v>0</v>
      </c>
      <c r="K449" t="str">
        <f xml:space="preserve"> IF(COUNTIF($D$2:$D1217,D449)&gt;1,"duplicated","original")</f>
        <v>duplicated</v>
      </c>
      <c r="L449" s="2">
        <f>COUNTIF($D$2:$D449,D449)</f>
        <v>23</v>
      </c>
      <c r="M449" t="str">
        <f xml:space="preserve"> IF(COUNTIF($I$2:$I1217,I449)&gt;1,"duplicated","original")</f>
        <v>duplicated</v>
      </c>
      <c r="N449" s="2">
        <f>COUNTIF($I$2:$I449,I449)</f>
        <v>21</v>
      </c>
      <c r="O449" s="8">
        <f t="shared" si="24"/>
        <v>3.3142714612106796</v>
      </c>
      <c r="P449" s="8">
        <f t="shared" si="25"/>
        <v>2.6879299637912952</v>
      </c>
      <c r="Q449">
        <v>74</v>
      </c>
      <c r="R449" s="9">
        <f t="shared" si="27"/>
        <v>0.25556984484211315</v>
      </c>
      <c r="S449">
        <v>32</v>
      </c>
      <c r="T449" s="9">
        <f t="shared" si="26"/>
        <v>-2.2055817629878085</v>
      </c>
    </row>
    <row r="450" spans="1:20" x14ac:dyDescent="0.25">
      <c r="A450">
        <v>449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>
        <v>1</v>
      </c>
      <c r="K450" t="str">
        <f xml:space="preserve"> IF(COUNTIF($D$2:$D1204,$D$3)&gt;1,"duplicated","original")</f>
        <v>duplicated</v>
      </c>
      <c r="L450" s="2">
        <f>COUNTIF($D$2:$D450,D450)</f>
        <v>31</v>
      </c>
      <c r="M450" t="str">
        <f xml:space="preserve"> IF(COUNTIF($I$2:$I1218,I450)&gt;1,"duplicated","original")</f>
        <v>duplicated</v>
      </c>
      <c r="N450" s="2">
        <f>COUNTIF($I$2:$I450,I450)</f>
        <v>40</v>
      </c>
      <c r="O450" s="8">
        <f t="shared" ref="O450:O513" si="28">SQRT(ABS($D450 - $U$8))</f>
        <v>2.2395545720978594</v>
      </c>
      <c r="P450" s="8">
        <f t="shared" ref="P450:P513" si="29">SQRT(ABS($I450 - $W$8))</f>
        <v>3.3503682618851132</v>
      </c>
      <c r="Q450">
        <v>74</v>
      </c>
      <c r="R450" s="9">
        <f t="shared" si="27"/>
        <v>0.25556984484211315</v>
      </c>
      <c r="S450">
        <v>32</v>
      </c>
      <c r="T450" s="9">
        <f t="shared" si="26"/>
        <v>-2.4106777303069684</v>
      </c>
    </row>
    <row r="451" spans="1:20" x14ac:dyDescent="0.25">
      <c r="A451">
        <v>450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>
        <v>0</v>
      </c>
      <c r="K451" t="str">
        <f xml:space="preserve"> IF(COUNTIF($D$2:$D1219,D451)&gt;1,"duplicated","original")</f>
        <v>duplicated</v>
      </c>
      <c r="L451" s="2">
        <f>COUNTIF($D$2:$D451,D451)</f>
        <v>30</v>
      </c>
      <c r="M451" t="str">
        <f xml:space="preserve"> IF(COUNTIF($I$2:$I1205,I451)&gt;1,"duplicated","original")</f>
        <v>duplicated</v>
      </c>
      <c r="N451" s="2">
        <f>COUNTIF($I$2:$I451,I451)</f>
        <v>22</v>
      </c>
      <c r="O451" s="8">
        <f t="shared" si="28"/>
        <v>2.2325759379236296</v>
      </c>
      <c r="P451" s="8">
        <f t="shared" si="29"/>
        <v>2.6879299637912952</v>
      </c>
      <c r="Q451">
        <v>74</v>
      </c>
      <c r="R451" s="9">
        <f t="shared" si="27"/>
        <v>0.25556984484211315</v>
      </c>
      <c r="S451">
        <v>32</v>
      </c>
      <c r="T451" s="9">
        <f t="shared" ref="T451:T514" si="30">STANDARDIZE($I451,$U$8,$U$26)</f>
        <v>-2.2055817629878085</v>
      </c>
    </row>
    <row r="452" spans="1:20" x14ac:dyDescent="0.25">
      <c r="A452">
        <v>451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>
        <v>0</v>
      </c>
      <c r="K452" t="str">
        <f xml:space="preserve"> IF(COUNTIF($D$2:$D1220,D452)&gt;1,"duplicated","original")</f>
        <v>duplicated</v>
      </c>
      <c r="L452" s="2">
        <f>COUNTIF($D$2:$D452,D452)</f>
        <v>32</v>
      </c>
      <c r="M452" t="str">
        <f xml:space="preserve"> IF(COUNTIF($I$2:$I1220,I452)&gt;1,"duplicated","original")</f>
        <v>duplicated</v>
      </c>
      <c r="N452" s="2">
        <f>COUNTIF($I$2:$I452,I452)</f>
        <v>21</v>
      </c>
      <c r="O452" s="8">
        <f t="shared" si="28"/>
        <v>2.2395545720978594</v>
      </c>
      <c r="P452" s="8">
        <f t="shared" si="29"/>
        <v>3.1976503076864229</v>
      </c>
      <c r="Q452">
        <v>74</v>
      </c>
      <c r="R452" s="9">
        <f t="shared" si="27"/>
        <v>0.25556984484211315</v>
      </c>
      <c r="S452">
        <v>32</v>
      </c>
      <c r="T452" s="9">
        <f t="shared" si="30"/>
        <v>-2.3594037384771784</v>
      </c>
    </row>
    <row r="453" spans="1:20" x14ac:dyDescent="0.25">
      <c r="A453">
        <v>452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>
        <v>1</v>
      </c>
      <c r="K453" t="str">
        <f xml:space="preserve"> IF(COUNTIF($D$2:$D1207,$D$3)&gt;1,"duplicated","original")</f>
        <v>duplicated</v>
      </c>
      <c r="L453" s="2">
        <f>COUNTIF($D$2:$D453,D453)</f>
        <v>33</v>
      </c>
      <c r="M453" t="str">
        <f xml:space="preserve"> IF(COUNTIF($I$2:$I1221,I453)&gt;1,"duplicated","original")</f>
        <v>duplicated</v>
      </c>
      <c r="N453" s="2">
        <f>COUNTIF($I$2:$I453,I453)</f>
        <v>22</v>
      </c>
      <c r="O453" s="8">
        <f t="shared" si="28"/>
        <v>0.99216698120607405</v>
      </c>
      <c r="P453" s="8">
        <f t="shared" si="29"/>
        <v>3.1976503076864229</v>
      </c>
      <c r="Q453">
        <v>74</v>
      </c>
      <c r="R453" s="9">
        <f t="shared" ref="R453:R516" si="31">STANDARDIZE($Q453,$U$8,$U$26)</f>
        <v>0.25556984484211315</v>
      </c>
      <c r="S453">
        <v>32</v>
      </c>
      <c r="T453" s="9">
        <f t="shared" si="30"/>
        <v>-2.3594037384771784</v>
      </c>
    </row>
    <row r="454" spans="1:20" x14ac:dyDescent="0.25">
      <c r="A454">
        <v>453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>
        <v>0</v>
      </c>
      <c r="K454" t="str">
        <f xml:space="preserve"> IF(COUNTIF($D$2:$D1222,D454)&gt;1,"duplicated","original")</f>
        <v>duplicated</v>
      </c>
      <c r="L454" s="2">
        <f>COUNTIF($D$2:$D454,D454)</f>
        <v>30</v>
      </c>
      <c r="M454" t="str">
        <f xml:space="preserve"> IF(COUNTIF($I$2:$I1222,I454)&gt;1,"duplicated","original")</f>
        <v>duplicated</v>
      </c>
      <c r="N454" s="2">
        <f>COUNTIF($I$2:$I454,I454)</f>
        <v>32</v>
      </c>
      <c r="O454" s="8">
        <f t="shared" si="28"/>
        <v>1.0077721376404618</v>
      </c>
      <c r="P454" s="8">
        <f t="shared" si="29"/>
        <v>2.8679204121186967</v>
      </c>
      <c r="Q454">
        <v>74</v>
      </c>
      <c r="R454" s="9">
        <f t="shared" si="31"/>
        <v>0.25556984484211315</v>
      </c>
      <c r="S454">
        <v>32</v>
      </c>
      <c r="T454" s="9">
        <f t="shared" si="30"/>
        <v>-2.2568557548175985</v>
      </c>
    </row>
    <row r="455" spans="1:20" x14ac:dyDescent="0.25">
      <c r="A455">
        <v>454</v>
      </c>
      <c r="B455">
        <v>2</v>
      </c>
      <c r="C455">
        <v>119</v>
      </c>
      <c r="D455">
        <v>0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>
        <v>0</v>
      </c>
      <c r="K455" t="str">
        <f xml:space="preserve"> IF(COUNTIF($D$2:$D1223,D455)&gt;1,"duplicated","original")</f>
        <v>duplicated</v>
      </c>
      <c r="L455" s="2">
        <f>COUNTIF($D$2:$D455,D455)</f>
        <v>21</v>
      </c>
      <c r="M455" t="str">
        <f xml:space="preserve"> IF(COUNTIF($I$2:$I1209,I455)&gt;1,"duplicated","original")</f>
        <v>original</v>
      </c>
      <c r="N455" s="2">
        <f>COUNTIF($I$2:$I455,I455)</f>
        <v>1</v>
      </c>
      <c r="O455" s="8">
        <f t="shared" si="28"/>
        <v>8.3075631012592623</v>
      </c>
      <c r="P455" s="8">
        <f t="shared" si="29"/>
        <v>6.2269601339460108</v>
      </c>
      <c r="Q455">
        <v>74</v>
      </c>
      <c r="R455" s="9">
        <f t="shared" si="31"/>
        <v>0.25556984484211315</v>
      </c>
      <c r="S455">
        <v>32</v>
      </c>
      <c r="T455" s="9">
        <f t="shared" si="30"/>
        <v>0.15302186118253308</v>
      </c>
    </row>
    <row r="456" spans="1:20" x14ac:dyDescent="0.25">
      <c r="A456">
        <v>455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>
        <v>0</v>
      </c>
      <c r="K456" t="str">
        <f xml:space="preserve"> IF(COUNTIF($D$2:$D1210,$D$3)&gt;1,"duplicated","original")</f>
        <v>duplicated</v>
      </c>
      <c r="L456" s="2">
        <f>COUNTIF($D$2:$D456,D456)</f>
        <v>5</v>
      </c>
      <c r="M456" t="str">
        <f xml:space="preserve"> IF(COUNTIF($I$2:$I1224,I456)&gt;1,"duplicated","original")</f>
        <v>duplicated</v>
      </c>
      <c r="N456" s="2">
        <f>COUNTIF($I$2:$I456,I456)</f>
        <v>26</v>
      </c>
      <c r="O456" s="8">
        <f t="shared" si="28"/>
        <v>3.8749973782448452</v>
      </c>
      <c r="P456" s="8">
        <f t="shared" si="29"/>
        <v>3.0372631578852487</v>
      </c>
      <c r="Q456">
        <v>74</v>
      </c>
      <c r="R456" s="9">
        <f t="shared" si="31"/>
        <v>0.25556984484211315</v>
      </c>
      <c r="S456">
        <v>32</v>
      </c>
      <c r="T456" s="9">
        <f t="shared" si="30"/>
        <v>-2.3081297466473885</v>
      </c>
    </row>
    <row r="457" spans="1:20" x14ac:dyDescent="0.25">
      <c r="A457">
        <v>456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>
        <v>1</v>
      </c>
      <c r="K457" t="str">
        <f xml:space="preserve"> IF(COUNTIF($D$2:$D1225,D457)&gt;1,"duplicated","original")</f>
        <v>duplicated</v>
      </c>
      <c r="L457" s="2">
        <f>COUNTIF($D$2:$D457,D457)</f>
        <v>20</v>
      </c>
      <c r="M457" t="str">
        <f xml:space="preserve"> IF(COUNTIF($I$2:$I1225,I457)&gt;1,"duplicated","original")</f>
        <v>duplicated</v>
      </c>
      <c r="N457" s="2">
        <f>COUNTIF($I$2:$I457,I457)</f>
        <v>10</v>
      </c>
      <c r="O457" s="8">
        <f t="shared" si="28"/>
        <v>2.648698676974115</v>
      </c>
      <c r="P457" s="8">
        <f t="shared" si="29"/>
        <v>2.1851847770275459</v>
      </c>
      <c r="Q457">
        <v>74</v>
      </c>
      <c r="R457" s="9">
        <f t="shared" si="31"/>
        <v>0.25556984484211315</v>
      </c>
      <c r="S457">
        <v>32</v>
      </c>
      <c r="T457" s="9">
        <f t="shared" si="30"/>
        <v>-1.5902938610303279</v>
      </c>
    </row>
    <row r="458" spans="1:20" x14ac:dyDescent="0.25">
      <c r="A458">
        <v>457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>
        <v>0</v>
      </c>
      <c r="K458" t="str">
        <f xml:space="preserve"> IF(COUNTIF($D$2:$D1226,D458)&gt;1,"duplicated","original")</f>
        <v>duplicated</v>
      </c>
      <c r="L458" s="2">
        <f>COUNTIF($D$2:$D458,D458)</f>
        <v>6</v>
      </c>
      <c r="M458" t="str">
        <f xml:space="preserve"> IF(COUNTIF($I$2:$I1226,I458)&gt;1,"duplicated","original")</f>
        <v>duplicated</v>
      </c>
      <c r="N458" s="2">
        <f>COUNTIF($I$2:$I458,I458)</f>
        <v>2</v>
      </c>
      <c r="O458" s="8">
        <f t="shared" si="28"/>
        <v>3.8749973782448452</v>
      </c>
      <c r="P458" s="8">
        <f t="shared" si="29"/>
        <v>5.3642364330585695</v>
      </c>
      <c r="Q458">
        <v>74</v>
      </c>
      <c r="R458" s="9">
        <f t="shared" si="31"/>
        <v>0.25556984484211315</v>
      </c>
      <c r="S458">
        <v>32</v>
      </c>
      <c r="T458" s="9">
        <f t="shared" si="30"/>
        <v>-0.35971805711536725</v>
      </c>
    </row>
    <row r="459" spans="1:20" x14ac:dyDescent="0.25">
      <c r="A459">
        <v>458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>
        <v>0</v>
      </c>
      <c r="K459" t="str">
        <f xml:space="preserve"> IF(COUNTIF($D$2:$D1213,$D$3)&gt;1,"duplicated","original")</f>
        <v>duplicated</v>
      </c>
      <c r="L459" s="2">
        <f>COUNTIF($D$2:$D459,D459)</f>
        <v>31</v>
      </c>
      <c r="M459" t="str">
        <f xml:space="preserve"> IF(COUNTIF($I$2:$I1213,I459)&gt;1,"duplicated","original")</f>
        <v>duplicated</v>
      </c>
      <c r="N459" s="2">
        <f>COUNTIF($I$2:$I459,I459)</f>
        <v>27</v>
      </c>
      <c r="O459" s="8">
        <f t="shared" si="28"/>
        <v>1.0077721376404618</v>
      </c>
      <c r="P459" s="8">
        <f t="shared" si="29"/>
        <v>3.0372631578852487</v>
      </c>
      <c r="Q459">
        <v>74</v>
      </c>
      <c r="R459" s="9">
        <f t="shared" si="31"/>
        <v>0.25556984484211315</v>
      </c>
      <c r="S459">
        <v>32</v>
      </c>
      <c r="T459" s="9">
        <f t="shared" si="30"/>
        <v>-2.3081297466473885</v>
      </c>
    </row>
    <row r="460" spans="1:20" x14ac:dyDescent="0.25">
      <c r="A460">
        <v>459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>
        <v>1</v>
      </c>
      <c r="K460" t="str">
        <f xml:space="preserve"> IF(COUNTIF($D$2:$D1228,D460)&gt;1,"duplicated","original")</f>
        <v>duplicated</v>
      </c>
      <c r="L460" s="2">
        <f>COUNTIF($D$2:$D460,D460)</f>
        <v>17</v>
      </c>
      <c r="M460" t="str">
        <f xml:space="preserve"> IF(COUNTIF($I$2:$I1228,I460)&gt;1,"duplicated","original")</f>
        <v>duplicated</v>
      </c>
      <c r="N460" s="2">
        <f>COUNTIF($I$2:$I460,I460)</f>
        <v>6</v>
      </c>
      <c r="O460" s="8">
        <f t="shared" si="28"/>
        <v>3.8709682662863014</v>
      </c>
      <c r="P460" s="8">
        <f t="shared" si="29"/>
        <v>4.2160446522484705</v>
      </c>
      <c r="Q460">
        <v>74</v>
      </c>
      <c r="R460" s="9">
        <f t="shared" si="31"/>
        <v>0.25556984484211315</v>
      </c>
      <c r="S460">
        <v>33</v>
      </c>
      <c r="T460" s="9">
        <f t="shared" si="30"/>
        <v>-0.92373196724305762</v>
      </c>
    </row>
    <row r="461" spans="1:20" x14ac:dyDescent="0.25">
      <c r="A461">
        <v>460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>
        <v>0</v>
      </c>
      <c r="K461" t="str">
        <f xml:space="preserve"> IF(COUNTIF($D$2:$D1229,D461)&gt;1,"duplicated","original")</f>
        <v>duplicated</v>
      </c>
      <c r="L461" s="2">
        <f>COUNTIF($D$2:$D461,D461)</f>
        <v>31</v>
      </c>
      <c r="M461" t="str">
        <f xml:space="preserve"> IF(COUNTIF($I$2:$I1229,I461)&gt;1,"duplicated","original")</f>
        <v>original</v>
      </c>
      <c r="N461" s="2">
        <f>COUNTIF($I$2:$I461,I461)</f>
        <v>1</v>
      </c>
      <c r="O461" s="8">
        <f t="shared" si="28"/>
        <v>2.2325759379236296</v>
      </c>
      <c r="P461" s="8">
        <f t="shared" si="29"/>
        <v>6.9119485320532394</v>
      </c>
      <c r="Q461">
        <v>74</v>
      </c>
      <c r="R461" s="9">
        <f t="shared" si="31"/>
        <v>0.25556984484211315</v>
      </c>
      <c r="S461">
        <v>33</v>
      </c>
      <c r="T461" s="9">
        <f t="shared" si="30"/>
        <v>0.61448778765064338</v>
      </c>
    </row>
    <row r="462" spans="1:20" x14ac:dyDescent="0.25">
      <c r="A462">
        <v>461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>
        <v>0</v>
      </c>
      <c r="K462" t="str">
        <f xml:space="preserve"> IF(COUNTIF($D$2:$D1216,$D$3)&gt;1,"duplicated","original")</f>
        <v>duplicated</v>
      </c>
      <c r="L462" s="2">
        <f>COUNTIF($D$2:$D462,D462)</f>
        <v>29</v>
      </c>
      <c r="M462" t="str">
        <f xml:space="preserve"> IF(COUNTIF($I$2:$I1230,I462)&gt;1,"duplicated","original")</f>
        <v>duplicated</v>
      </c>
      <c r="N462" s="2">
        <f>COUNTIF($I$2:$I462,I462)</f>
        <v>3</v>
      </c>
      <c r="O462" s="8">
        <f t="shared" si="28"/>
        <v>1.7275402509335562</v>
      </c>
      <c r="P462" s="8">
        <f t="shared" si="29"/>
        <v>3.8438304475812828</v>
      </c>
      <c r="Q462">
        <v>74</v>
      </c>
      <c r="R462" s="9">
        <f t="shared" si="31"/>
        <v>0.25556984484211315</v>
      </c>
      <c r="S462">
        <v>33</v>
      </c>
      <c r="T462" s="9">
        <f t="shared" si="30"/>
        <v>-1.0775539427324277</v>
      </c>
    </row>
    <row r="463" spans="1:20" x14ac:dyDescent="0.25">
      <c r="A463">
        <v>462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>
        <v>0</v>
      </c>
      <c r="K463" t="str">
        <f xml:space="preserve"> IF(COUNTIF($D$2:$D1231,D463)&gt;1,"duplicated","original")</f>
        <v>duplicated</v>
      </c>
      <c r="L463" s="2">
        <f>COUNTIF($D$2:$D463,D463)</f>
        <v>21</v>
      </c>
      <c r="M463" t="str">
        <f xml:space="preserve"> IF(COUNTIF($I$2:$I1217,I463)&gt;1,"duplicated","original")</f>
        <v>duplicated</v>
      </c>
      <c r="N463" s="2">
        <f>COUNTIF($I$2:$I463,I463)</f>
        <v>23</v>
      </c>
      <c r="O463" s="8">
        <f t="shared" si="28"/>
        <v>2.648698676974115</v>
      </c>
      <c r="P463" s="8">
        <f t="shared" si="29"/>
        <v>2.6879299637912952</v>
      </c>
      <c r="Q463">
        <v>74</v>
      </c>
      <c r="R463" s="9">
        <f t="shared" si="31"/>
        <v>0.25556984484211315</v>
      </c>
      <c r="S463">
        <v>33</v>
      </c>
      <c r="T463" s="9">
        <f t="shared" si="30"/>
        <v>-2.2055817629878085</v>
      </c>
    </row>
    <row r="464" spans="1:20" x14ac:dyDescent="0.25">
      <c r="A464">
        <v>463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>
        <v>0</v>
      </c>
      <c r="K464" t="str">
        <f xml:space="preserve"> IF(COUNTIF($D$2:$D1232,D464)&gt;1,"duplicated","original")</f>
        <v>duplicated</v>
      </c>
      <c r="L464" s="2">
        <f>COUNTIF($D$2:$D464,D464)</f>
        <v>34</v>
      </c>
      <c r="M464" t="str">
        <f xml:space="preserve"> IF(COUNTIF($I$2:$I1232,I464)&gt;1,"duplicated","original")</f>
        <v>duplicated</v>
      </c>
      <c r="N464" s="2">
        <f>COUNTIF($I$2:$I464,I464)</f>
        <v>7</v>
      </c>
      <c r="O464" s="8">
        <f t="shared" si="28"/>
        <v>0.99216698120607405</v>
      </c>
      <c r="P464" s="8">
        <f t="shared" si="29"/>
        <v>2.4031297321936087</v>
      </c>
      <c r="Q464">
        <v>74</v>
      </c>
      <c r="R464" s="9">
        <f t="shared" si="31"/>
        <v>0.25556984484211315</v>
      </c>
      <c r="S464">
        <v>33</v>
      </c>
      <c r="T464" s="9">
        <f t="shared" si="30"/>
        <v>-1.5390198692005379</v>
      </c>
    </row>
    <row r="465" spans="1:20" x14ac:dyDescent="0.25">
      <c r="A465">
        <v>464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>
        <v>0</v>
      </c>
      <c r="K465" t="str">
        <f xml:space="preserve"> IF(COUNTIF($D$2:$D1219,$D$3)&gt;1,"duplicated","original")</f>
        <v>duplicated</v>
      </c>
      <c r="L465" s="2">
        <f>COUNTIF($D$2:$D465,D465)</f>
        <v>24</v>
      </c>
      <c r="M465" t="str">
        <f xml:space="preserve"> IF(COUNTIF($I$2:$I1233,I465)&gt;1,"duplicated","original")</f>
        <v>duplicated</v>
      </c>
      <c r="N465" s="2">
        <f>COUNTIF($I$2:$I465,I465)</f>
        <v>14</v>
      </c>
      <c r="O465" s="8">
        <f t="shared" si="28"/>
        <v>2.9973980914445737</v>
      </c>
      <c r="P465" s="8">
        <f t="shared" si="29"/>
        <v>1.9429442888958308</v>
      </c>
      <c r="Q465">
        <v>74</v>
      </c>
      <c r="R465" s="9">
        <f t="shared" si="31"/>
        <v>0.25556984484211315</v>
      </c>
      <c r="S465">
        <v>33</v>
      </c>
      <c r="T465" s="9">
        <f t="shared" si="30"/>
        <v>-1.6415678528601181</v>
      </c>
    </row>
    <row r="466" spans="1:20" x14ac:dyDescent="0.25">
      <c r="A466">
        <v>465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>
        <v>0</v>
      </c>
      <c r="K466" t="str">
        <f xml:space="preserve"> IF(COUNTIF($D$2:$D1234,D466)&gt;1,"duplicated","original")</f>
        <v>duplicated</v>
      </c>
      <c r="L466" s="2">
        <f>COUNTIF($D$2:$D466,D466)</f>
        <v>3</v>
      </c>
      <c r="M466" t="str">
        <f xml:space="preserve"> IF(COUNTIF($I$2:$I1234,I466)&gt;1,"duplicated","original")</f>
        <v>duplicated</v>
      </c>
      <c r="N466" s="2">
        <f>COUNTIF($I$2:$I466,I466)</f>
        <v>8</v>
      </c>
      <c r="O466" s="8">
        <f t="shared" si="28"/>
        <v>5.3837157538818463</v>
      </c>
      <c r="P466" s="8">
        <f t="shared" si="29"/>
        <v>0.88035930718822164</v>
      </c>
      <c r="Q466">
        <v>74</v>
      </c>
      <c r="R466" s="9">
        <f t="shared" si="31"/>
        <v>0.25556984484211315</v>
      </c>
      <c r="S466">
        <v>33</v>
      </c>
      <c r="T466" s="9">
        <f t="shared" si="30"/>
        <v>-1.795389828349488</v>
      </c>
    </row>
    <row r="467" spans="1:20" x14ac:dyDescent="0.25">
      <c r="A467">
        <v>466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>
        <v>0</v>
      </c>
      <c r="K467" t="str">
        <f xml:space="preserve"> IF(COUNTIF($D$2:$D1235,D467)&gt;1,"duplicated","original")</f>
        <v>duplicated</v>
      </c>
      <c r="L467" s="2">
        <f>COUNTIF($D$2:$D467,D467)</f>
        <v>8</v>
      </c>
      <c r="M467" t="str">
        <f xml:space="preserve"> IF(COUNTIF($I$2:$I1221,I467)&gt;1,"duplicated","original")</f>
        <v>duplicated</v>
      </c>
      <c r="N467" s="2">
        <f>COUNTIF($I$2:$I467,I467)</f>
        <v>39</v>
      </c>
      <c r="O467" s="8">
        <f t="shared" si="28"/>
        <v>3.6077146064239098</v>
      </c>
      <c r="P467" s="8">
        <f t="shared" si="29"/>
        <v>3.4964220984096119</v>
      </c>
      <c r="Q467">
        <v>74</v>
      </c>
      <c r="R467" s="9">
        <f t="shared" si="31"/>
        <v>0.25556984484211315</v>
      </c>
      <c r="S467">
        <v>33</v>
      </c>
      <c r="T467" s="9">
        <f t="shared" si="30"/>
        <v>-2.4619517221367584</v>
      </c>
    </row>
    <row r="468" spans="1:20" x14ac:dyDescent="0.25">
      <c r="A468">
        <v>467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>
        <v>0</v>
      </c>
      <c r="K468" t="str">
        <f xml:space="preserve"> IF(COUNTIF($D$2:$D1222,$D$3)&gt;1,"duplicated","original")</f>
        <v>duplicated</v>
      </c>
      <c r="L468" s="2">
        <f>COUNTIF($D$2:$D468,D468)</f>
        <v>7</v>
      </c>
      <c r="M468" t="str">
        <f xml:space="preserve"> IF(COUNTIF($I$2:$I1236,I468)&gt;1,"duplicated","original")</f>
        <v>duplicated</v>
      </c>
      <c r="N468" s="2">
        <f>COUNTIF($I$2:$I468,I468)</f>
        <v>41</v>
      </c>
      <c r="O468" s="8">
        <f t="shared" si="28"/>
        <v>4.1249975371391949</v>
      </c>
      <c r="P468" s="8">
        <f t="shared" si="29"/>
        <v>3.3503682618851132</v>
      </c>
      <c r="Q468">
        <v>74</v>
      </c>
      <c r="R468" s="9">
        <f t="shared" si="31"/>
        <v>0.25556984484211315</v>
      </c>
      <c r="S468">
        <v>33</v>
      </c>
      <c r="T468" s="9">
        <f t="shared" si="30"/>
        <v>-2.4106777303069684</v>
      </c>
    </row>
    <row r="469" spans="1:20" x14ac:dyDescent="0.25">
      <c r="A469">
        <v>468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>
        <v>0</v>
      </c>
      <c r="K469" t="str">
        <f xml:space="preserve"> IF(COUNTIF($D$2:$D1237,D469)&gt;1,"duplicated","original")</f>
        <v>duplicated</v>
      </c>
      <c r="L469" s="2">
        <f>COUNTIF($D$2:$D469,D469)</f>
        <v>33</v>
      </c>
      <c r="M469" t="str">
        <f xml:space="preserve"> IF(COUNTIF($I$2:$I1237,I469)&gt;1,"duplicated","original")</f>
        <v>duplicated</v>
      </c>
      <c r="N469" s="2">
        <f>COUNTIF($I$2:$I469,I469)</f>
        <v>33</v>
      </c>
      <c r="O469" s="8">
        <f t="shared" si="28"/>
        <v>2.2395545720978594</v>
      </c>
      <c r="P469" s="8">
        <f t="shared" si="29"/>
        <v>2.8679204121186967</v>
      </c>
      <c r="Q469">
        <v>74</v>
      </c>
      <c r="R469" s="9">
        <f t="shared" si="31"/>
        <v>0.25556984484211315</v>
      </c>
      <c r="S469">
        <v>33</v>
      </c>
      <c r="T469" s="9">
        <f t="shared" si="30"/>
        <v>-2.2568557548175985</v>
      </c>
    </row>
    <row r="470" spans="1:20" x14ac:dyDescent="0.25">
      <c r="A470">
        <v>469</v>
      </c>
      <c r="B470">
        <v>8</v>
      </c>
      <c r="C470">
        <v>120</v>
      </c>
      <c r="D470">
        <v>0</v>
      </c>
      <c r="E470">
        <v>0</v>
      </c>
      <c r="F470">
        <v>0</v>
      </c>
      <c r="G470">
        <v>30</v>
      </c>
      <c r="H470">
        <v>0.183</v>
      </c>
      <c r="I470">
        <v>38</v>
      </c>
      <c r="J470">
        <v>1</v>
      </c>
      <c r="K470" t="str">
        <f xml:space="preserve"> IF(COUNTIF($D$2:$D1238,D470)&gt;1,"duplicated","original")</f>
        <v>duplicated</v>
      </c>
      <c r="L470" s="2">
        <f>COUNTIF($D$2:$D470,D470)</f>
        <v>22</v>
      </c>
      <c r="M470" t="str">
        <f xml:space="preserve"> IF(COUNTIF($I$2:$I1238,I470)&gt;1,"duplicated","original")</f>
        <v>duplicated</v>
      </c>
      <c r="N470" s="2">
        <f>COUNTIF($I$2:$I470,I470)</f>
        <v>11</v>
      </c>
      <c r="O470" s="8">
        <f t="shared" si="28"/>
        <v>8.3075631012592623</v>
      </c>
      <c r="P470" s="8">
        <f t="shared" si="29"/>
        <v>2.1851847770275459</v>
      </c>
      <c r="Q470">
        <v>74</v>
      </c>
      <c r="R470" s="9">
        <f t="shared" si="31"/>
        <v>0.25556984484211315</v>
      </c>
      <c r="S470">
        <v>33</v>
      </c>
      <c r="T470" s="9">
        <f t="shared" si="30"/>
        <v>-1.5902938610303279</v>
      </c>
    </row>
    <row r="471" spans="1:20" x14ac:dyDescent="0.25">
      <c r="A471">
        <v>470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>
        <v>0</v>
      </c>
      <c r="K471" t="str">
        <f xml:space="preserve"> IF(COUNTIF($D$2:$D1225,$D$3)&gt;1,"duplicated","original")</f>
        <v>duplicated</v>
      </c>
      <c r="L471" s="2">
        <f>COUNTIF($D$2:$D471,D471)</f>
        <v>25</v>
      </c>
      <c r="M471" t="str">
        <f xml:space="preserve"> IF(COUNTIF($I$2:$I1225,I471)&gt;1,"duplicated","original")</f>
        <v>duplicated</v>
      </c>
      <c r="N471" s="2">
        <f>COUNTIF($I$2:$I471,I471)</f>
        <v>18</v>
      </c>
      <c r="O471" s="8">
        <f t="shared" si="28"/>
        <v>2.9973980914445737</v>
      </c>
      <c r="P471" s="8">
        <f t="shared" si="29"/>
        <v>2.4949884749727951</v>
      </c>
      <c r="Q471">
        <v>74</v>
      </c>
      <c r="R471" s="9">
        <f t="shared" si="31"/>
        <v>0.25556984484211315</v>
      </c>
      <c r="S471">
        <v>33</v>
      </c>
      <c r="T471" s="9">
        <f t="shared" si="30"/>
        <v>-2.1543077711580185</v>
      </c>
    </row>
    <row r="472" spans="1:20" x14ac:dyDescent="0.25">
      <c r="A472">
        <v>471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>
        <v>0</v>
      </c>
      <c r="K472" t="str">
        <f xml:space="preserve"> IF(COUNTIF($D$2:$D1240,D472)&gt;1,"duplicated","original")</f>
        <v>duplicated</v>
      </c>
      <c r="L472" s="2">
        <f>COUNTIF($D$2:$D472,D472)</f>
        <v>18</v>
      </c>
      <c r="M472" t="str">
        <f xml:space="preserve"> IF(COUNTIF($I$2:$I1240,I472)&gt;1,"duplicated","original")</f>
        <v>duplicated</v>
      </c>
      <c r="N472" s="2">
        <f>COUNTIF($I$2:$I472,I472)</f>
        <v>19</v>
      </c>
      <c r="O472" s="8">
        <f t="shared" si="28"/>
        <v>3.6033866457258754</v>
      </c>
      <c r="P472" s="8">
        <f t="shared" si="29"/>
        <v>2.2858187789601945</v>
      </c>
      <c r="Q472">
        <v>74</v>
      </c>
      <c r="R472" s="9">
        <f t="shared" si="31"/>
        <v>0.25556984484211315</v>
      </c>
      <c r="S472">
        <v>33</v>
      </c>
      <c r="T472" s="9">
        <f t="shared" si="30"/>
        <v>-2.1030337793282281</v>
      </c>
    </row>
    <row r="473" spans="1:20" x14ac:dyDescent="0.25">
      <c r="A473">
        <v>472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>
        <v>0</v>
      </c>
      <c r="K473" t="str">
        <f xml:space="preserve"> IF(COUNTIF($D$2:$D1241,D473)&gt;1,"duplicated","original")</f>
        <v>duplicated</v>
      </c>
      <c r="L473" s="2">
        <f>COUNTIF($D$2:$D473,D473)</f>
        <v>35</v>
      </c>
      <c r="M473" t="str">
        <f xml:space="preserve"> IF(COUNTIF($I$2:$I1241,I473)&gt;1,"duplicated","original")</f>
        <v>duplicated</v>
      </c>
      <c r="N473" s="2">
        <f>COUNTIF($I$2:$I473,I473)</f>
        <v>42</v>
      </c>
      <c r="O473" s="8">
        <f t="shared" si="28"/>
        <v>0.99216698120607405</v>
      </c>
      <c r="P473" s="8">
        <f t="shared" si="29"/>
        <v>3.3503682618851132</v>
      </c>
      <c r="Q473">
        <v>74</v>
      </c>
      <c r="R473" s="9">
        <f t="shared" si="31"/>
        <v>0.25556984484211315</v>
      </c>
      <c r="S473">
        <v>33</v>
      </c>
      <c r="T473" s="9">
        <f t="shared" si="30"/>
        <v>-2.4106777303069684</v>
      </c>
    </row>
    <row r="474" spans="1:20" x14ac:dyDescent="0.25">
      <c r="A474">
        <v>473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>
        <v>0</v>
      </c>
      <c r="K474" t="str">
        <f xml:space="preserve"> IF(COUNTIF($D$2:$D1228,$D$3)&gt;1,"duplicated","original")</f>
        <v>duplicated</v>
      </c>
      <c r="L474" s="2">
        <f>COUNTIF($D$2:$D474,D474)</f>
        <v>23</v>
      </c>
      <c r="M474" t="str">
        <f xml:space="preserve"> IF(COUNTIF($I$2:$I1242,I474)&gt;1,"duplicated","original")</f>
        <v>duplicated</v>
      </c>
      <c r="N474" s="2">
        <f>COUNTIF($I$2:$I474,I474)</f>
        <v>43</v>
      </c>
      <c r="O474" s="8">
        <f t="shared" si="28"/>
        <v>1.7365496484133203</v>
      </c>
      <c r="P474" s="8">
        <f t="shared" si="29"/>
        <v>3.3503682618851132</v>
      </c>
      <c r="Q474">
        <v>75</v>
      </c>
      <c r="R474" s="9">
        <f t="shared" si="31"/>
        <v>0.30684383667190318</v>
      </c>
      <c r="S474">
        <v>33</v>
      </c>
      <c r="T474" s="9">
        <f t="shared" si="30"/>
        <v>-2.4106777303069684</v>
      </c>
    </row>
    <row r="475" spans="1:20" x14ac:dyDescent="0.25">
      <c r="A475">
        <v>474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>
        <v>0</v>
      </c>
      <c r="K475" t="str">
        <f xml:space="preserve"> IF(COUNTIF($D$2:$D1243,D475)&gt;1,"duplicated","original")</f>
        <v>duplicated</v>
      </c>
      <c r="L475" s="2">
        <f>COUNTIF($D$2:$D475,D475)</f>
        <v>12</v>
      </c>
      <c r="M475" t="str">
        <f xml:space="preserve"> IF(COUNTIF($I$2:$I1229,I475)&gt;1,"duplicated","original")</f>
        <v>duplicated</v>
      </c>
      <c r="N475" s="2">
        <f>COUNTIF($I$2:$I475,I475)</f>
        <v>3</v>
      </c>
      <c r="O475" s="8">
        <f t="shared" si="28"/>
        <v>4.5808727682173815</v>
      </c>
      <c r="P475" s="8">
        <f t="shared" si="29"/>
        <v>4.095733451990367</v>
      </c>
      <c r="Q475">
        <v>75</v>
      </c>
      <c r="R475" s="9">
        <f t="shared" si="31"/>
        <v>0.30684383667190318</v>
      </c>
      <c r="S475">
        <v>33</v>
      </c>
      <c r="T475" s="9">
        <f t="shared" si="30"/>
        <v>-0.97500595907284759</v>
      </c>
    </row>
    <row r="476" spans="1:20" x14ac:dyDescent="0.25">
      <c r="A476">
        <v>475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>
        <v>0</v>
      </c>
      <c r="K476" t="str">
        <f xml:space="preserve"> IF(COUNTIF($D$2:$D1244,D476)&gt;1,"duplicated","original")</f>
        <v>duplicated</v>
      </c>
      <c r="L476" s="2">
        <f>COUNTIF($D$2:$D476,D476)</f>
        <v>34</v>
      </c>
      <c r="M476" t="str">
        <f xml:space="preserve"> IF(COUNTIF($I$2:$I1244,I476)&gt;1,"duplicated","original")</f>
        <v>duplicated</v>
      </c>
      <c r="N476" s="2">
        <f>COUNTIF($I$2:$I476,I476)</f>
        <v>28</v>
      </c>
      <c r="O476" s="8">
        <f t="shared" si="28"/>
        <v>2.2395545720978594</v>
      </c>
      <c r="P476" s="8">
        <f t="shared" si="29"/>
        <v>3.0372631578852487</v>
      </c>
      <c r="Q476">
        <v>75</v>
      </c>
      <c r="R476" s="9">
        <f t="shared" si="31"/>
        <v>0.30684383667190318</v>
      </c>
      <c r="S476">
        <v>33</v>
      </c>
      <c r="T476" s="9">
        <f t="shared" si="30"/>
        <v>-2.3081297466473885</v>
      </c>
    </row>
    <row r="477" spans="1:20" x14ac:dyDescent="0.25">
      <c r="A477">
        <v>476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>
        <v>0</v>
      </c>
      <c r="K477" t="str">
        <f xml:space="preserve"> IF(COUNTIF($D$2:$D1231,$D$3)&gt;1,"duplicated","original")</f>
        <v>duplicated</v>
      </c>
      <c r="L477" s="2">
        <f>COUNTIF($D$2:$D477,D477)</f>
        <v>18</v>
      </c>
      <c r="M477" t="str">
        <f xml:space="preserve"> IF(COUNTIF($I$2:$I1245,I477)&gt;1,"duplicated","original")</f>
        <v>duplicated</v>
      </c>
      <c r="N477" s="2">
        <f>COUNTIF($I$2:$I477,I477)</f>
        <v>3</v>
      </c>
      <c r="O477" s="8">
        <f t="shared" si="28"/>
        <v>3.8709682662863014</v>
      </c>
      <c r="P477" s="8">
        <f t="shared" si="29"/>
        <v>5.0769117098638743</v>
      </c>
      <c r="Q477">
        <v>75</v>
      </c>
      <c r="R477" s="9">
        <f t="shared" si="31"/>
        <v>0.30684383667190318</v>
      </c>
      <c r="S477">
        <v>34</v>
      </c>
      <c r="T477" s="9">
        <f t="shared" si="30"/>
        <v>-0.51354003260473735</v>
      </c>
    </row>
    <row r="478" spans="1:20" x14ac:dyDescent="0.25">
      <c r="A478">
        <v>477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>
        <v>1</v>
      </c>
      <c r="K478" t="str">
        <f xml:space="preserve"> IF(COUNTIF($D$2:$D1246,D478)&gt;1,"duplicated","original")</f>
        <v>duplicated</v>
      </c>
      <c r="L478" s="2">
        <f>COUNTIF($D$2:$D478,D478)</f>
        <v>24</v>
      </c>
      <c r="M478" t="str">
        <f xml:space="preserve"> IF(COUNTIF($I$2:$I1246,I478)&gt;1,"duplicated","original")</f>
        <v>duplicated</v>
      </c>
      <c r="N478" s="2">
        <f>COUNTIF($I$2:$I478,I478)</f>
        <v>23</v>
      </c>
      <c r="O478" s="8">
        <f t="shared" si="28"/>
        <v>3.3142714612106796</v>
      </c>
      <c r="P478" s="8">
        <f t="shared" si="29"/>
        <v>2.0554725710276638</v>
      </c>
      <c r="Q478">
        <v>75</v>
      </c>
      <c r="R478" s="9">
        <f t="shared" si="31"/>
        <v>0.30684383667190318</v>
      </c>
      <c r="S478">
        <v>34</v>
      </c>
      <c r="T478" s="9">
        <f t="shared" si="30"/>
        <v>-2.0517597874984381</v>
      </c>
    </row>
    <row r="479" spans="1:20" x14ac:dyDescent="0.25">
      <c r="A479">
        <v>478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>
        <v>0</v>
      </c>
      <c r="K479" t="str">
        <f xml:space="preserve"> IF(COUNTIF($D$2:$D1247,D479)&gt;1,"duplicated","original")</f>
        <v>duplicated</v>
      </c>
      <c r="L479" s="2">
        <f>COUNTIF($D$2:$D479,D479)</f>
        <v>22</v>
      </c>
      <c r="M479" t="str">
        <f xml:space="preserve"> IF(COUNTIF($I$2:$I1233,I479)&gt;1,"duplicated","original")</f>
        <v>duplicated</v>
      </c>
      <c r="N479" s="2">
        <f>COUNTIF($I$2:$I479,I479)</f>
        <v>16</v>
      </c>
      <c r="O479" s="8">
        <f t="shared" si="28"/>
        <v>2.642800658126824</v>
      </c>
      <c r="P479" s="8">
        <f t="shared" si="29"/>
        <v>1.4916324916838848</v>
      </c>
      <c r="Q479">
        <v>75</v>
      </c>
      <c r="R479" s="9">
        <f t="shared" si="31"/>
        <v>0.30684383667190318</v>
      </c>
      <c r="S479">
        <v>34</v>
      </c>
      <c r="T479" s="9">
        <f t="shared" si="30"/>
        <v>-1.9492118038388582</v>
      </c>
    </row>
    <row r="480" spans="1:20" x14ac:dyDescent="0.25">
      <c r="A480">
        <v>479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>
        <v>0</v>
      </c>
      <c r="K480" t="str">
        <f xml:space="preserve"> IF(COUNTIF($D$2:$D1234,$D$3)&gt;1,"duplicated","original")</f>
        <v>duplicated</v>
      </c>
      <c r="L480" s="2">
        <f>COUNTIF($D$2:$D480,D480)</f>
        <v>32</v>
      </c>
      <c r="M480" t="str">
        <f xml:space="preserve"> IF(COUNTIF($I$2:$I1248,I480)&gt;1,"duplicated","original")</f>
        <v>duplicated</v>
      </c>
      <c r="N480" s="2">
        <f>COUNTIF($I$2:$I480,I480)</f>
        <v>8</v>
      </c>
      <c r="O480" s="8">
        <f t="shared" si="28"/>
        <v>2.2325759379236296</v>
      </c>
      <c r="P480" s="8">
        <f t="shared" si="29"/>
        <v>2.4031297321936087</v>
      </c>
      <c r="Q480">
        <v>75</v>
      </c>
      <c r="R480" s="9">
        <f t="shared" si="31"/>
        <v>0.30684383667190318</v>
      </c>
      <c r="S480">
        <v>34</v>
      </c>
      <c r="T480" s="9">
        <f t="shared" si="30"/>
        <v>-1.5390198692005379</v>
      </c>
    </row>
    <row r="481" spans="1:20" x14ac:dyDescent="0.25">
      <c r="A481">
        <v>480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>
        <v>0</v>
      </c>
      <c r="K481" t="str">
        <f xml:space="preserve"> IF(COUNTIF($D$2:$D1249,D481)&gt;1,"duplicated","original")</f>
        <v>duplicated</v>
      </c>
      <c r="L481" s="2">
        <f>COUNTIF($D$2:$D481,D481)</f>
        <v>11</v>
      </c>
      <c r="M481" t="str">
        <f xml:space="preserve"> IF(COUNTIF($I$2:$I1249,I481)&gt;1,"duplicated","original")</f>
        <v>duplicated</v>
      </c>
      <c r="N481" s="2">
        <f>COUNTIF($I$2:$I481,I481)</f>
        <v>3</v>
      </c>
      <c r="O481" s="8">
        <f t="shared" si="28"/>
        <v>4.121212845582666</v>
      </c>
      <c r="P481" s="8">
        <f t="shared" si="29"/>
        <v>5.4566503012152907</v>
      </c>
      <c r="Q481">
        <v>75</v>
      </c>
      <c r="R481" s="9">
        <f t="shared" si="31"/>
        <v>0.30684383667190318</v>
      </c>
      <c r="S481">
        <v>34</v>
      </c>
      <c r="T481" s="9">
        <f t="shared" si="30"/>
        <v>-0.30844406528557722</v>
      </c>
    </row>
    <row r="482" spans="1:20" x14ac:dyDescent="0.25">
      <c r="A482">
        <v>481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>
        <v>1</v>
      </c>
      <c r="K482" t="str">
        <f xml:space="preserve"> IF(COUNTIF($D$2:$D1250,D482)&gt;1,"duplicated","original")</f>
        <v>duplicated</v>
      </c>
      <c r="L482" s="2">
        <f>COUNTIF($D$2:$D482,D482)</f>
        <v>36</v>
      </c>
      <c r="M482" t="str">
        <f xml:space="preserve"> IF(COUNTIF($I$2:$I1250,I482)&gt;1,"duplicated","original")</f>
        <v>duplicated</v>
      </c>
      <c r="N482" s="2">
        <f>COUNTIF($I$2:$I482,I482)</f>
        <v>7</v>
      </c>
      <c r="O482" s="8">
        <f t="shared" si="28"/>
        <v>0.99216698120607405</v>
      </c>
      <c r="P482" s="8">
        <f t="shared" si="29"/>
        <v>1.332303460084423</v>
      </c>
      <c r="Q482">
        <v>76</v>
      </c>
      <c r="R482" s="9">
        <f t="shared" si="31"/>
        <v>0.35811782850169321</v>
      </c>
      <c r="S482">
        <v>34</v>
      </c>
      <c r="T482" s="9">
        <f t="shared" si="30"/>
        <v>-1.744115836519698</v>
      </c>
    </row>
    <row r="483" spans="1:20" x14ac:dyDescent="0.25">
      <c r="A483">
        <v>482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>
        <v>0</v>
      </c>
      <c r="K483" t="str">
        <f xml:space="preserve"> IF(COUNTIF($D$2:$D1237,$D$3)&gt;1,"duplicated","original")</f>
        <v>duplicated</v>
      </c>
      <c r="L483" s="2">
        <f>COUNTIF($D$2:$D483,D483)</f>
        <v>13</v>
      </c>
      <c r="M483" t="str">
        <f xml:space="preserve"> IF(COUNTIF($I$2:$I1237,I483)&gt;1,"duplicated","original")</f>
        <v>duplicated</v>
      </c>
      <c r="N483" s="2">
        <f>COUNTIF($I$2:$I483,I483)</f>
        <v>24</v>
      </c>
      <c r="O483" s="8">
        <f t="shared" si="28"/>
        <v>4.3571085961444176</v>
      </c>
      <c r="P483" s="8">
        <f t="shared" si="29"/>
        <v>2.0554725710276638</v>
      </c>
      <c r="Q483">
        <v>76</v>
      </c>
      <c r="R483" s="9">
        <f t="shared" si="31"/>
        <v>0.35811782850169321</v>
      </c>
      <c r="S483">
        <v>34</v>
      </c>
      <c r="T483" s="9">
        <f t="shared" si="30"/>
        <v>-2.0517597874984381</v>
      </c>
    </row>
    <row r="484" spans="1:20" x14ac:dyDescent="0.25">
      <c r="A484">
        <v>483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>
        <v>0</v>
      </c>
      <c r="K484" t="str">
        <f xml:space="preserve"> IF(COUNTIF($D$2:$D1252,D484)&gt;1,"duplicated","original")</f>
        <v>duplicated</v>
      </c>
      <c r="L484" s="2">
        <f>COUNTIF($D$2:$D484,D484)</f>
        <v>11</v>
      </c>
      <c r="M484" t="str">
        <f xml:space="preserve"> IF(COUNTIF($I$2:$I1252,I484)&gt;1,"duplicated","original")</f>
        <v>duplicated</v>
      </c>
      <c r="N484" s="2">
        <f>COUNTIF($I$2:$I484,I484)</f>
        <v>20</v>
      </c>
      <c r="O484" s="8">
        <f t="shared" si="28"/>
        <v>3.3189764508662045</v>
      </c>
      <c r="P484" s="8">
        <f t="shared" si="29"/>
        <v>2.2858187789601945</v>
      </c>
      <c r="Q484">
        <v>76</v>
      </c>
      <c r="R484" s="9">
        <f t="shared" si="31"/>
        <v>0.35811782850169321</v>
      </c>
      <c r="S484">
        <v>34</v>
      </c>
      <c r="T484" s="9">
        <f t="shared" si="30"/>
        <v>-2.1030337793282281</v>
      </c>
    </row>
    <row r="485" spans="1:20" x14ac:dyDescent="0.25">
      <c r="A485">
        <v>484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>
        <v>0</v>
      </c>
      <c r="K485" t="str">
        <f xml:space="preserve"> IF(COUNTIF($D$2:$D1253,D485)&gt;1,"duplicated","original")</f>
        <v>duplicated</v>
      </c>
      <c r="L485" s="2">
        <f>COUNTIF($D$2:$D485,D485)</f>
        <v>19</v>
      </c>
      <c r="M485" t="str">
        <f xml:space="preserve"> IF(COUNTIF($I$2:$I1253,I485)&gt;1,"duplicated","original")</f>
        <v>duplicated</v>
      </c>
      <c r="N485" s="2">
        <f>COUNTIF($I$2:$I485,I485)</f>
        <v>23</v>
      </c>
      <c r="O485" s="8">
        <f t="shared" si="28"/>
        <v>3.6033866457258754</v>
      </c>
      <c r="P485" s="8">
        <f t="shared" si="29"/>
        <v>3.1976503076864229</v>
      </c>
      <c r="Q485">
        <v>76</v>
      </c>
      <c r="R485" s="9">
        <f t="shared" si="31"/>
        <v>0.35811782850169321</v>
      </c>
      <c r="S485">
        <v>34</v>
      </c>
      <c r="T485" s="9">
        <f t="shared" si="30"/>
        <v>-2.3594037384771784</v>
      </c>
    </row>
    <row r="486" spans="1:20" x14ac:dyDescent="0.25">
      <c r="A486">
        <v>485</v>
      </c>
      <c r="B486">
        <v>0</v>
      </c>
      <c r="C486">
        <v>145</v>
      </c>
      <c r="D486">
        <v>0</v>
      </c>
      <c r="E486">
        <v>0</v>
      </c>
      <c r="F486">
        <v>0</v>
      </c>
      <c r="G486">
        <v>44.2</v>
      </c>
      <c r="H486">
        <v>0.63</v>
      </c>
      <c r="I486">
        <v>31</v>
      </c>
      <c r="J486">
        <v>1</v>
      </c>
      <c r="K486" t="str">
        <f xml:space="preserve"> IF(COUNTIF($D$2:$D1240,$D$3)&gt;1,"duplicated","original")</f>
        <v>duplicated</v>
      </c>
      <c r="L486" s="2">
        <f>COUNTIF($D$2:$D486,D486)</f>
        <v>23</v>
      </c>
      <c r="M486" t="str">
        <f xml:space="preserve"> IF(COUNTIF($I$2:$I1254,I486)&gt;1,"duplicated","original")</f>
        <v>duplicated</v>
      </c>
      <c r="N486" s="2">
        <f>COUNTIF($I$2:$I486,I486)</f>
        <v>17</v>
      </c>
      <c r="O486" s="8">
        <f t="shared" si="28"/>
        <v>8.3075631012592623</v>
      </c>
      <c r="P486" s="8">
        <f t="shared" si="29"/>
        <v>1.4916324916838848</v>
      </c>
      <c r="Q486">
        <v>76</v>
      </c>
      <c r="R486" s="9">
        <f t="shared" si="31"/>
        <v>0.35811782850169321</v>
      </c>
      <c r="S486">
        <v>34</v>
      </c>
      <c r="T486" s="9">
        <f t="shared" si="30"/>
        <v>-1.9492118038388582</v>
      </c>
    </row>
    <row r="487" spans="1:20" x14ac:dyDescent="0.25">
      <c r="A487">
        <v>486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>
        <v>1</v>
      </c>
      <c r="K487" t="str">
        <f xml:space="preserve"> IF(COUNTIF($D$2:$D1255,D487)&gt;1,"duplicated","original")</f>
        <v>duplicated</v>
      </c>
      <c r="L487" s="2">
        <f>COUNTIF($D$2:$D487,D487)</f>
        <v>32</v>
      </c>
      <c r="M487" t="str">
        <f xml:space="preserve"> IF(COUNTIF($I$2:$I1241,I487)&gt;1,"duplicated","original")</f>
        <v>duplicated</v>
      </c>
      <c r="N487" s="2">
        <f>COUNTIF($I$2:$I487,I487)</f>
        <v>29</v>
      </c>
      <c r="O487" s="8">
        <f t="shared" si="28"/>
        <v>1.0077721376404618</v>
      </c>
      <c r="P487" s="8">
        <f t="shared" si="29"/>
        <v>3.0372631578852487</v>
      </c>
      <c r="Q487">
        <v>76</v>
      </c>
      <c r="R487" s="9">
        <f t="shared" si="31"/>
        <v>0.35811782850169321</v>
      </c>
      <c r="S487">
        <v>34</v>
      </c>
      <c r="T487" s="9">
        <f t="shared" si="30"/>
        <v>-2.3081297466473885</v>
      </c>
    </row>
    <row r="488" spans="1:20" x14ac:dyDescent="0.25">
      <c r="A488">
        <v>487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>
        <v>0</v>
      </c>
      <c r="K488" t="str">
        <f xml:space="preserve"> IF(COUNTIF($D$2:$D1256,D488)&gt;1,"duplicated","original")</f>
        <v>duplicated</v>
      </c>
      <c r="L488" s="2">
        <f>COUNTIF($D$2:$D488,D488)</f>
        <v>22</v>
      </c>
      <c r="M488" t="str">
        <f xml:space="preserve"> IF(COUNTIF($I$2:$I1256,I488)&gt;1,"duplicated","original")</f>
        <v>duplicated</v>
      </c>
      <c r="N488" s="2">
        <f>COUNTIF($I$2:$I488,I488)</f>
        <v>40</v>
      </c>
      <c r="O488" s="8">
        <f t="shared" si="28"/>
        <v>2.648698676974115</v>
      </c>
      <c r="P488" s="8">
        <f t="shared" si="29"/>
        <v>3.4964220984096119</v>
      </c>
      <c r="Q488">
        <v>76</v>
      </c>
      <c r="R488" s="9">
        <f t="shared" si="31"/>
        <v>0.35811782850169321</v>
      </c>
      <c r="S488">
        <v>34</v>
      </c>
      <c r="T488" s="9">
        <f t="shared" si="30"/>
        <v>-2.4619517221367584</v>
      </c>
    </row>
    <row r="489" spans="1:20" x14ac:dyDescent="0.25">
      <c r="A489">
        <v>488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>
        <v>0</v>
      </c>
      <c r="K489" t="str">
        <f xml:space="preserve"> IF(COUNTIF($D$2:$D1243,$D$3)&gt;1,"duplicated","original")</f>
        <v>duplicated</v>
      </c>
      <c r="L489" s="2">
        <f>COUNTIF($D$2:$D489,D489)</f>
        <v>26</v>
      </c>
      <c r="M489" t="str">
        <f xml:space="preserve"> IF(COUNTIF($I$2:$I1257,I489)&gt;1,"duplicated","original")</f>
        <v>duplicated</v>
      </c>
      <c r="N489" s="2">
        <f>COUNTIF($I$2:$I489,I489)</f>
        <v>5</v>
      </c>
      <c r="O489" s="8">
        <f t="shared" si="28"/>
        <v>2.9973980914445737</v>
      </c>
      <c r="P489" s="8">
        <f t="shared" si="29"/>
        <v>4.9774524116010319</v>
      </c>
      <c r="Q489">
        <v>76</v>
      </c>
      <c r="R489" s="9">
        <f t="shared" si="31"/>
        <v>0.35811782850169321</v>
      </c>
      <c r="S489">
        <v>34</v>
      </c>
      <c r="T489" s="9">
        <f t="shared" si="30"/>
        <v>-0.56481402443452733</v>
      </c>
    </row>
    <row r="490" spans="1:20" x14ac:dyDescent="0.25">
      <c r="A490">
        <v>489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>
        <v>0</v>
      </c>
      <c r="K490" t="str">
        <f xml:space="preserve"> IF(COUNTIF($D$2:$D1258,D490)&gt;1,"duplicated","original")</f>
        <v>duplicated</v>
      </c>
      <c r="L490" s="2">
        <f>COUNTIF($D$2:$D490,D490)</f>
        <v>30</v>
      </c>
      <c r="M490" t="str">
        <f xml:space="preserve"> IF(COUNTIF($I$2:$I1258,I490)&gt;1,"duplicated","original")</f>
        <v>duplicated</v>
      </c>
      <c r="N490" s="2">
        <f>COUNTIF($I$2:$I490,I490)</f>
        <v>21</v>
      </c>
      <c r="O490" s="8">
        <f t="shared" si="28"/>
        <v>1.7275402509335562</v>
      </c>
      <c r="P490" s="8">
        <f t="shared" si="29"/>
        <v>2.2858187789601945</v>
      </c>
      <c r="Q490">
        <v>76</v>
      </c>
      <c r="R490" s="9">
        <f t="shared" si="31"/>
        <v>0.35811782850169321</v>
      </c>
      <c r="S490">
        <v>34</v>
      </c>
      <c r="T490" s="9">
        <f t="shared" si="30"/>
        <v>-2.1030337793282281</v>
      </c>
    </row>
    <row r="491" spans="1:20" x14ac:dyDescent="0.25">
      <c r="A491">
        <v>490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>
        <v>0</v>
      </c>
      <c r="K491" t="str">
        <f xml:space="preserve"> IF(COUNTIF($D$2:$D1259,D491)&gt;1,"duplicated","original")</f>
        <v>duplicated</v>
      </c>
      <c r="L491" s="2">
        <f>COUNTIF($D$2:$D491,D491)</f>
        <v>25</v>
      </c>
      <c r="M491" t="str">
        <f xml:space="preserve"> IF(COUNTIF($I$2:$I1245,I491)&gt;1,"duplicated","original")</f>
        <v>duplicated</v>
      </c>
      <c r="N491" s="2">
        <f>COUNTIF($I$2:$I491,I491)</f>
        <v>2</v>
      </c>
      <c r="O491" s="8">
        <f t="shared" si="28"/>
        <v>3.3142714612106796</v>
      </c>
      <c r="P491" s="8">
        <f t="shared" si="29"/>
        <v>5.8116290753757616</v>
      </c>
      <c r="Q491">
        <v>76</v>
      </c>
      <c r="R491" s="9">
        <f t="shared" si="31"/>
        <v>0.35811782850169321</v>
      </c>
      <c r="S491">
        <v>35</v>
      </c>
      <c r="T491" s="9">
        <f t="shared" si="30"/>
        <v>-0.10334809796641707</v>
      </c>
    </row>
    <row r="492" spans="1:20" x14ac:dyDescent="0.25">
      <c r="A492">
        <v>491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>
        <v>0</v>
      </c>
      <c r="K492" t="str">
        <f xml:space="preserve"> IF(COUNTIF($D$2:$D1246,$D$3)&gt;1,"duplicated","original")</f>
        <v>duplicated</v>
      </c>
      <c r="L492" s="2">
        <f>COUNTIF($D$2:$D492,D492)</f>
        <v>5</v>
      </c>
      <c r="M492" t="str">
        <f xml:space="preserve"> IF(COUNTIF($I$2:$I1260,I492)&gt;1,"duplicated","original")</f>
        <v>duplicated</v>
      </c>
      <c r="N492" s="2">
        <f>COUNTIF($I$2:$I492,I492)</f>
        <v>30</v>
      </c>
      <c r="O492" s="8">
        <f t="shared" si="28"/>
        <v>2.0038973729720855</v>
      </c>
      <c r="P492" s="8">
        <f t="shared" si="29"/>
        <v>3.0372631578852487</v>
      </c>
      <c r="Q492">
        <v>76</v>
      </c>
      <c r="R492" s="9">
        <f t="shared" si="31"/>
        <v>0.35811782850169321</v>
      </c>
      <c r="S492">
        <v>35</v>
      </c>
      <c r="T492" s="9">
        <f t="shared" si="30"/>
        <v>-2.3081297466473885</v>
      </c>
    </row>
    <row r="493" spans="1:20" x14ac:dyDescent="0.25">
      <c r="A493">
        <v>492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>
        <v>0</v>
      </c>
      <c r="K493" t="str">
        <f xml:space="preserve"> IF(COUNTIF($D$2:$D1261,D493)&gt;1,"duplicated","original")</f>
        <v>duplicated</v>
      </c>
      <c r="L493" s="2">
        <f>COUNTIF($D$2:$D493,D493)</f>
        <v>13</v>
      </c>
      <c r="M493" t="str">
        <f xml:space="preserve"> IF(COUNTIF($I$2:$I1261,I493)&gt;1,"duplicated","original")</f>
        <v>duplicated</v>
      </c>
      <c r="N493" s="2">
        <f>COUNTIF($I$2:$I493,I493)</f>
        <v>11</v>
      </c>
      <c r="O493" s="8">
        <f t="shared" si="28"/>
        <v>4.5808727682173815</v>
      </c>
      <c r="P493" s="8">
        <f t="shared" si="29"/>
        <v>2.9622681360324097</v>
      </c>
      <c r="Q493">
        <v>76</v>
      </c>
      <c r="R493" s="9">
        <f t="shared" si="31"/>
        <v>0.35811782850169321</v>
      </c>
      <c r="S493">
        <v>35</v>
      </c>
      <c r="T493" s="9">
        <f t="shared" si="30"/>
        <v>-1.385197893711168</v>
      </c>
    </row>
    <row r="494" spans="1:20" x14ac:dyDescent="0.25">
      <c r="A494">
        <v>493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>
        <v>0</v>
      </c>
      <c r="K494" t="str">
        <f xml:space="preserve"> IF(COUNTIF($D$2:$D1262,D494)&gt;1,"duplicated","original")</f>
        <v>duplicated</v>
      </c>
      <c r="L494" s="2">
        <f>COUNTIF($D$2:$D494,D494)</f>
        <v>33</v>
      </c>
      <c r="M494" t="str">
        <f xml:space="preserve"> IF(COUNTIF($I$2:$I1262,I494)&gt;1,"duplicated","original")</f>
        <v>duplicated</v>
      </c>
      <c r="N494" s="2">
        <f>COUNTIF($I$2:$I494,I494)</f>
        <v>14</v>
      </c>
      <c r="O494" s="8">
        <f t="shared" si="28"/>
        <v>1.0077721376404618</v>
      </c>
      <c r="P494" s="8">
        <f t="shared" si="29"/>
        <v>0.47430737949885876</v>
      </c>
      <c r="Q494">
        <v>76</v>
      </c>
      <c r="R494" s="9">
        <f t="shared" si="31"/>
        <v>0.35811782850169321</v>
      </c>
      <c r="S494">
        <v>35</v>
      </c>
      <c r="T494" s="9">
        <f t="shared" si="30"/>
        <v>-1.8466638201792782</v>
      </c>
    </row>
    <row r="495" spans="1:20" x14ac:dyDescent="0.25">
      <c r="A495">
        <v>494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>
        <v>1</v>
      </c>
      <c r="K495" t="str">
        <f xml:space="preserve"> IF(COUNTIF($D$2:$D1249,$D$3)&gt;1,"duplicated","original")</f>
        <v>duplicated</v>
      </c>
      <c r="L495" s="2">
        <f>COUNTIF($D$2:$D495,D495)</f>
        <v>37</v>
      </c>
      <c r="M495" t="str">
        <f xml:space="preserve"> IF(COUNTIF($I$2:$I1249,I495)&gt;1,"duplicated","original")</f>
        <v>duplicated</v>
      </c>
      <c r="N495" s="2">
        <f>COUNTIF($I$2:$I495,I495)</f>
        <v>6</v>
      </c>
      <c r="O495" s="8">
        <f t="shared" si="28"/>
        <v>0.99216698120607405</v>
      </c>
      <c r="P495" s="8">
        <f t="shared" si="29"/>
        <v>3.4314767243495803</v>
      </c>
      <c r="Q495">
        <v>76</v>
      </c>
      <c r="R495" s="9">
        <f t="shared" si="31"/>
        <v>0.35811782850169321</v>
      </c>
      <c r="S495">
        <v>35</v>
      </c>
      <c r="T495" s="9">
        <f t="shared" si="30"/>
        <v>-1.2313759182217978</v>
      </c>
    </row>
    <row r="496" spans="1:20" x14ac:dyDescent="0.25">
      <c r="A496">
        <v>495</v>
      </c>
      <c r="B496">
        <v>3</v>
      </c>
      <c r="C496">
        <v>80</v>
      </c>
      <c r="D496">
        <v>0</v>
      </c>
      <c r="E496">
        <v>0</v>
      </c>
      <c r="F496">
        <v>0</v>
      </c>
      <c r="G496">
        <v>0</v>
      </c>
      <c r="H496">
        <v>0.17399999999999999</v>
      </c>
      <c r="I496">
        <v>22</v>
      </c>
      <c r="J496">
        <v>0</v>
      </c>
      <c r="K496" t="str">
        <f xml:space="preserve"> IF(COUNTIF($D$2:$D1264,D496)&gt;1,"duplicated","original")</f>
        <v>duplicated</v>
      </c>
      <c r="L496" s="2">
        <f>COUNTIF($D$2:$D496,D496)</f>
        <v>24</v>
      </c>
      <c r="M496" t="str">
        <f xml:space="preserve"> IF(COUNTIF($I$2:$I1264,I496)&gt;1,"duplicated","original")</f>
        <v>duplicated</v>
      </c>
      <c r="N496" s="2">
        <f>COUNTIF($I$2:$I496,I496)</f>
        <v>44</v>
      </c>
      <c r="O496" s="8">
        <f t="shared" si="28"/>
        <v>8.3075631012592623</v>
      </c>
      <c r="P496" s="8">
        <f t="shared" si="29"/>
        <v>3.3503682618851132</v>
      </c>
      <c r="Q496">
        <v>76</v>
      </c>
      <c r="R496" s="9">
        <f t="shared" si="31"/>
        <v>0.35811782850169321</v>
      </c>
      <c r="S496">
        <v>35</v>
      </c>
      <c r="T496" s="9">
        <f t="shared" si="30"/>
        <v>-2.4106777303069684</v>
      </c>
    </row>
    <row r="497" spans="1:20" x14ac:dyDescent="0.25">
      <c r="A497">
        <v>496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>
        <v>0</v>
      </c>
      <c r="K497" t="str">
        <f xml:space="preserve"> IF(COUNTIF($D$2:$D1265,D497)&gt;1,"duplicated","original")</f>
        <v>duplicated</v>
      </c>
      <c r="L497" s="2">
        <f>COUNTIF($D$2:$D497,D497)</f>
        <v>33</v>
      </c>
      <c r="M497" t="str">
        <f xml:space="preserve"> IF(COUNTIF($I$2:$I1265,I497)&gt;1,"duplicated","original")</f>
        <v>duplicated</v>
      </c>
      <c r="N497" s="2">
        <f>COUNTIF($I$2:$I497,I497)</f>
        <v>2</v>
      </c>
      <c r="O497" s="8">
        <f t="shared" si="28"/>
        <v>2.2325759379236296</v>
      </c>
      <c r="P497" s="8">
        <f t="shared" si="29"/>
        <v>5.7249482538930367</v>
      </c>
      <c r="Q497">
        <v>76</v>
      </c>
      <c r="R497" s="9">
        <f t="shared" si="31"/>
        <v>0.35811782850169321</v>
      </c>
      <c r="S497">
        <v>35</v>
      </c>
      <c r="T497" s="9">
        <f t="shared" si="30"/>
        <v>-0.15462208979620712</v>
      </c>
    </row>
    <row r="498" spans="1:20" x14ac:dyDescent="0.25">
      <c r="A498">
        <v>497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>
        <v>0</v>
      </c>
      <c r="K498" t="str">
        <f xml:space="preserve"> IF(COUNTIF($D$2:$D1252,$D$3)&gt;1,"duplicated","original")</f>
        <v>duplicated</v>
      </c>
      <c r="L498" s="2">
        <f>COUNTIF($D$2:$D498,D498)</f>
        <v>34</v>
      </c>
      <c r="M498" t="str">
        <f xml:space="preserve"> IF(COUNTIF($I$2:$I1266,I498)&gt;1,"duplicated","original")</f>
        <v>duplicated</v>
      </c>
      <c r="N498" s="2">
        <f>COUNTIF($I$2:$I498,I498)</f>
        <v>15</v>
      </c>
      <c r="O498" s="8">
        <f t="shared" si="28"/>
        <v>1.0077721376404618</v>
      </c>
      <c r="P498" s="8">
        <f t="shared" si="29"/>
        <v>1.7958194481202931</v>
      </c>
      <c r="Q498">
        <v>76</v>
      </c>
      <c r="R498" s="9">
        <f t="shared" si="31"/>
        <v>0.35811782850169321</v>
      </c>
      <c r="S498">
        <v>35</v>
      </c>
      <c r="T498" s="9">
        <f t="shared" si="30"/>
        <v>-2.0004857956686481</v>
      </c>
    </row>
    <row r="499" spans="1:20" x14ac:dyDescent="0.25">
      <c r="A499">
        <v>498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>
        <v>0</v>
      </c>
      <c r="K499" t="str">
        <f xml:space="preserve"> IF(COUNTIF($D$2:$D1267,D499)&gt;1,"duplicated","original")</f>
        <v>duplicated</v>
      </c>
      <c r="L499" s="2">
        <f>COUNTIF($D$2:$D499,D499)</f>
        <v>31</v>
      </c>
      <c r="M499" t="str">
        <f xml:space="preserve"> IF(COUNTIF($I$2:$I1253,I499)&gt;1,"duplicated","original")</f>
        <v>duplicated</v>
      </c>
      <c r="N499" s="2">
        <f>COUNTIF($I$2:$I499,I499)</f>
        <v>34</v>
      </c>
      <c r="O499" s="8">
        <f t="shared" si="28"/>
        <v>1.7275402509335562</v>
      </c>
      <c r="P499" s="8">
        <f t="shared" si="29"/>
        <v>2.8679204121186967</v>
      </c>
      <c r="Q499">
        <v>76</v>
      </c>
      <c r="R499" s="9">
        <f t="shared" si="31"/>
        <v>0.35811782850169321</v>
      </c>
      <c r="S499">
        <v>35</v>
      </c>
      <c r="T499" s="9">
        <f t="shared" si="30"/>
        <v>-2.2568557548175985</v>
      </c>
    </row>
    <row r="500" spans="1:20" x14ac:dyDescent="0.25">
      <c r="A500">
        <v>499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>
        <v>1</v>
      </c>
      <c r="K500" t="str">
        <f xml:space="preserve"> IF(COUNTIF($D$2:$D1268,D500)&gt;1,"duplicated","original")</f>
        <v>duplicated</v>
      </c>
      <c r="L500" s="2">
        <f>COUNTIF($D$2:$D500,D500)</f>
        <v>38</v>
      </c>
      <c r="M500" t="str">
        <f xml:space="preserve"> IF(COUNTIF($I$2:$I1268,I500)&gt;1,"duplicated","original")</f>
        <v>duplicated</v>
      </c>
      <c r="N500" s="2">
        <f>COUNTIF($I$2:$I500,I500)</f>
        <v>4</v>
      </c>
      <c r="O500" s="8">
        <f t="shared" si="28"/>
        <v>0.99216698120607405</v>
      </c>
      <c r="P500" s="8">
        <f t="shared" si="29"/>
        <v>4.666372521536716</v>
      </c>
      <c r="Q500">
        <v>76</v>
      </c>
      <c r="R500" s="9">
        <f t="shared" si="31"/>
        <v>0.35811782850169321</v>
      </c>
      <c r="S500">
        <v>35</v>
      </c>
      <c r="T500" s="9">
        <f t="shared" si="30"/>
        <v>-0.71863599992389748</v>
      </c>
    </row>
    <row r="501" spans="1:20" x14ac:dyDescent="0.25">
      <c r="A501">
        <v>500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>
        <v>0</v>
      </c>
      <c r="K501" t="str">
        <f xml:space="preserve"> IF(COUNTIF($D$2:$D1255,$D$3)&gt;1,"duplicated","original")</f>
        <v>duplicated</v>
      </c>
      <c r="L501" s="2">
        <f>COUNTIF($D$2:$D501,D501)</f>
        <v>34</v>
      </c>
      <c r="M501" t="str">
        <f xml:space="preserve"> IF(COUNTIF($I$2:$I1269,I501)&gt;1,"duplicated","original")</f>
        <v>duplicated</v>
      </c>
      <c r="N501" s="2">
        <f>COUNTIF($I$2:$I501,I501)</f>
        <v>9</v>
      </c>
      <c r="O501" s="8">
        <f t="shared" si="28"/>
        <v>2.2325759379236296</v>
      </c>
      <c r="P501" s="8">
        <f t="shared" si="29"/>
        <v>2.4031297321936087</v>
      </c>
      <c r="Q501">
        <v>76</v>
      </c>
      <c r="R501" s="9">
        <f t="shared" si="31"/>
        <v>0.35811782850169321</v>
      </c>
      <c r="S501">
        <v>36</v>
      </c>
      <c r="T501" s="9">
        <f t="shared" si="30"/>
        <v>-1.5390198692005379</v>
      </c>
    </row>
    <row r="502" spans="1:20" x14ac:dyDescent="0.25">
      <c r="A502">
        <v>501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>
        <v>0</v>
      </c>
      <c r="K502" t="str">
        <f xml:space="preserve"> IF(COUNTIF($D$2:$D1270,D502)&gt;1,"duplicated","original")</f>
        <v>duplicated</v>
      </c>
      <c r="L502" s="2">
        <f>COUNTIF($D$2:$D502,D502)</f>
        <v>14</v>
      </c>
      <c r="M502" t="str">
        <f xml:space="preserve"> IF(COUNTIF($I$2:$I1270,I502)&gt;1,"duplicated","original")</f>
        <v>duplicated</v>
      </c>
      <c r="N502" s="2">
        <f>COUNTIF($I$2:$I502,I502)</f>
        <v>41</v>
      </c>
      <c r="O502" s="8">
        <f t="shared" si="28"/>
        <v>4.5808727682173815</v>
      </c>
      <c r="P502" s="8">
        <f t="shared" si="29"/>
        <v>3.4964220984096119</v>
      </c>
      <c r="Q502">
        <v>76</v>
      </c>
      <c r="R502" s="9">
        <f t="shared" si="31"/>
        <v>0.35811782850169321</v>
      </c>
      <c r="S502">
        <v>36</v>
      </c>
      <c r="T502" s="9">
        <f t="shared" si="30"/>
        <v>-2.4619517221367584</v>
      </c>
    </row>
    <row r="503" spans="1:20" x14ac:dyDescent="0.25">
      <c r="A503">
        <v>502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>
        <v>0</v>
      </c>
      <c r="K503" t="str">
        <f xml:space="preserve"> IF(COUNTIF($D$2:$D1271,D503)&gt;1,"duplicated","original")</f>
        <v>duplicated</v>
      </c>
      <c r="L503" s="2">
        <f>COUNTIF($D$2:$D503,D503)</f>
        <v>32</v>
      </c>
      <c r="M503" t="str">
        <f xml:space="preserve"> IF(COUNTIF($I$2:$I1257,I503)&gt;1,"duplicated","original")</f>
        <v>duplicated</v>
      </c>
      <c r="N503" s="2">
        <f>COUNTIF($I$2:$I503,I503)</f>
        <v>22</v>
      </c>
      <c r="O503" s="8">
        <f t="shared" si="28"/>
        <v>1.7275402509335562</v>
      </c>
      <c r="P503" s="8">
        <f t="shared" si="29"/>
        <v>2.2858187789601945</v>
      </c>
      <c r="Q503">
        <v>76</v>
      </c>
      <c r="R503" s="9">
        <f t="shared" si="31"/>
        <v>0.35811782850169321</v>
      </c>
      <c r="S503">
        <v>36</v>
      </c>
      <c r="T503" s="9">
        <f t="shared" si="30"/>
        <v>-2.1030337793282281</v>
      </c>
    </row>
    <row r="504" spans="1:20" x14ac:dyDescent="0.25">
      <c r="A504">
        <v>503</v>
      </c>
      <c r="B504">
        <v>6</v>
      </c>
      <c r="C504">
        <v>0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>
        <v>1</v>
      </c>
      <c r="K504" t="str">
        <f xml:space="preserve"> IF(COUNTIF($D$2:$D1258,$D$3)&gt;1,"duplicated","original")</f>
        <v>duplicated</v>
      </c>
      <c r="L504" s="2">
        <f>COUNTIF($D$2:$D504,D504)</f>
        <v>35</v>
      </c>
      <c r="M504" t="str">
        <f xml:space="preserve"> IF(COUNTIF($I$2:$I1272,I504)&gt;1,"duplicated","original")</f>
        <v>duplicated</v>
      </c>
      <c r="N504" s="2">
        <f>COUNTIF($I$2:$I504,I504)</f>
        <v>17</v>
      </c>
      <c r="O504" s="8">
        <f t="shared" si="28"/>
        <v>1.0077721376404618</v>
      </c>
      <c r="P504" s="8">
        <f t="shared" si="29"/>
        <v>2.7883745282427403</v>
      </c>
      <c r="Q504">
        <v>76</v>
      </c>
      <c r="R504" s="9">
        <f t="shared" si="31"/>
        <v>0.35811782850169321</v>
      </c>
      <c r="S504">
        <v>36</v>
      </c>
      <c r="T504" s="9">
        <f t="shared" si="30"/>
        <v>-1.4364718855409579</v>
      </c>
    </row>
    <row r="505" spans="1:20" x14ac:dyDescent="0.25">
      <c r="A505">
        <v>504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>
        <v>0</v>
      </c>
      <c r="K505" t="str">
        <f xml:space="preserve"> IF(COUNTIF($D$2:$D1273,D505)&gt;1,"duplicated","original")</f>
        <v>duplicated</v>
      </c>
      <c r="L505" s="2">
        <f>COUNTIF($D$2:$D505,D505)</f>
        <v>35</v>
      </c>
      <c r="M505" t="str">
        <f xml:space="preserve"> IF(COUNTIF($I$2:$I1273,I505)&gt;1,"duplicated","original")</f>
        <v>duplicated</v>
      </c>
      <c r="N505" s="2">
        <f>COUNTIF($I$2:$I505,I505)</f>
        <v>18</v>
      </c>
      <c r="O505" s="8">
        <f t="shared" si="28"/>
        <v>2.2395545720978594</v>
      </c>
      <c r="P505" s="8">
        <f t="shared" si="29"/>
        <v>2.7883745282427403</v>
      </c>
      <c r="Q505">
        <v>76</v>
      </c>
      <c r="R505" s="9">
        <f t="shared" si="31"/>
        <v>0.35811782850169321</v>
      </c>
      <c r="S505">
        <v>36</v>
      </c>
      <c r="T505" s="9">
        <f t="shared" si="30"/>
        <v>-1.4364718855409579</v>
      </c>
    </row>
    <row r="506" spans="1:20" x14ac:dyDescent="0.25">
      <c r="A506">
        <v>505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>
        <v>0</v>
      </c>
      <c r="K506" t="str">
        <f xml:space="preserve"> IF(COUNTIF($D$2:$D1274,D506)&gt;1,"duplicated","original")</f>
        <v>duplicated</v>
      </c>
      <c r="L506" s="2">
        <f>COUNTIF($D$2:$D506,D506)</f>
        <v>27</v>
      </c>
      <c r="M506" t="str">
        <f xml:space="preserve"> IF(COUNTIF($I$2:$I1274,I506)&gt;1,"duplicated","original")</f>
        <v>duplicated</v>
      </c>
      <c r="N506" s="2">
        <f>COUNTIF($I$2:$I506,I506)</f>
        <v>8</v>
      </c>
      <c r="O506" s="8">
        <f t="shared" si="28"/>
        <v>2.9973980914445737</v>
      </c>
      <c r="P506" s="8">
        <f t="shared" si="29"/>
        <v>2.6028892619074147</v>
      </c>
      <c r="Q506">
        <v>76</v>
      </c>
      <c r="R506" s="9">
        <f t="shared" si="31"/>
        <v>0.35811782850169321</v>
      </c>
      <c r="S506">
        <v>36</v>
      </c>
      <c r="T506" s="9">
        <f t="shared" si="30"/>
        <v>-1.4877458773707479</v>
      </c>
    </row>
    <row r="507" spans="1:20" x14ac:dyDescent="0.25">
      <c r="A507">
        <v>506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>
        <v>0</v>
      </c>
      <c r="K507" t="str">
        <f xml:space="preserve"> IF(COUNTIF($D$2:$D1261,$D$3)&gt;1,"duplicated","original")</f>
        <v>duplicated</v>
      </c>
      <c r="L507" s="2">
        <f>COUNTIF($D$2:$D507,D507)</f>
        <v>20</v>
      </c>
      <c r="M507" t="str">
        <f xml:space="preserve"> IF(COUNTIF($I$2:$I1261,I507)&gt;1,"duplicated","original")</f>
        <v>duplicated</v>
      </c>
      <c r="N507" s="2">
        <f>COUNTIF($I$2:$I507,I507)</f>
        <v>12</v>
      </c>
      <c r="O507" s="8">
        <f t="shared" si="28"/>
        <v>3.6033866457258754</v>
      </c>
      <c r="P507" s="8">
        <f t="shared" si="29"/>
        <v>2.1851847770275459</v>
      </c>
      <c r="Q507">
        <v>76</v>
      </c>
      <c r="R507" s="9">
        <f t="shared" si="31"/>
        <v>0.35811782850169321</v>
      </c>
      <c r="S507">
        <v>36</v>
      </c>
      <c r="T507" s="9">
        <f t="shared" si="30"/>
        <v>-1.5902938610303279</v>
      </c>
    </row>
    <row r="508" spans="1:20" x14ac:dyDescent="0.25">
      <c r="A508">
        <v>507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>
        <v>1</v>
      </c>
      <c r="K508" t="str">
        <f xml:space="preserve"> IF(COUNTIF($D$2:$D1276,D508)&gt;1,"duplicated","original")</f>
        <v>duplicated</v>
      </c>
      <c r="L508" s="2">
        <f>COUNTIF($D$2:$D508,D508)</f>
        <v>15</v>
      </c>
      <c r="M508" t="str">
        <f xml:space="preserve"> IF(COUNTIF($I$2:$I1276,I508)&gt;1,"duplicated","original")</f>
        <v>duplicated</v>
      </c>
      <c r="N508" s="2">
        <f>COUNTIF($I$2:$I508,I508)</f>
        <v>8</v>
      </c>
      <c r="O508" s="8">
        <f t="shared" si="28"/>
        <v>4.5808727682173815</v>
      </c>
      <c r="P508" s="8">
        <f t="shared" si="29"/>
        <v>1.332303460084423</v>
      </c>
      <c r="Q508">
        <v>76</v>
      </c>
      <c r="R508" s="9">
        <f t="shared" si="31"/>
        <v>0.35811782850169321</v>
      </c>
      <c r="S508">
        <v>36</v>
      </c>
      <c r="T508" s="9">
        <f t="shared" si="30"/>
        <v>-1.744115836519698</v>
      </c>
    </row>
    <row r="509" spans="1:20" x14ac:dyDescent="0.25">
      <c r="A509">
        <v>508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>
        <v>0</v>
      </c>
      <c r="K509" t="str">
        <f xml:space="preserve"> IF(COUNTIF($D$2:$D1277,D509)&gt;1,"duplicated","original")</f>
        <v>duplicated</v>
      </c>
      <c r="L509" s="2">
        <f>COUNTIF($D$2:$D509,D509)</f>
        <v>19</v>
      </c>
      <c r="M509" t="str">
        <f xml:space="preserve"> IF(COUNTIF($I$2:$I1277,I509)&gt;1,"duplicated","original")</f>
        <v>duplicated</v>
      </c>
      <c r="N509" s="2">
        <f>COUNTIF($I$2:$I509,I509)</f>
        <v>42</v>
      </c>
      <c r="O509" s="8">
        <f t="shared" si="28"/>
        <v>3.002599653867366</v>
      </c>
      <c r="P509" s="8">
        <f t="shared" si="29"/>
        <v>3.4964220984096119</v>
      </c>
      <c r="Q509">
        <v>76</v>
      </c>
      <c r="R509" s="9">
        <f t="shared" si="31"/>
        <v>0.35811782850169321</v>
      </c>
      <c r="S509">
        <v>36</v>
      </c>
      <c r="T509" s="9">
        <f t="shared" si="30"/>
        <v>-2.4619517221367584</v>
      </c>
    </row>
    <row r="510" spans="1:20" x14ac:dyDescent="0.25">
      <c r="A510">
        <v>509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>
        <v>0</v>
      </c>
      <c r="K510" t="str">
        <f xml:space="preserve"> IF(COUNTIF($D$2:$D1264,$D$3)&gt;1,"duplicated","original")</f>
        <v>duplicated</v>
      </c>
      <c r="L510" s="2">
        <f>COUNTIF($D$2:$D510,D510)</f>
        <v>10</v>
      </c>
      <c r="M510" t="str">
        <f xml:space="preserve"> IF(COUNTIF($I$2:$I1278,I510)&gt;1,"duplicated","original")</f>
        <v>duplicated</v>
      </c>
      <c r="N510" s="2">
        <f>COUNTIF($I$2:$I510,I510)</f>
        <v>43</v>
      </c>
      <c r="O510" s="8">
        <f t="shared" si="28"/>
        <v>4.3606885558824793</v>
      </c>
      <c r="P510" s="8">
        <f t="shared" si="29"/>
        <v>3.4964220984096119</v>
      </c>
      <c r="Q510">
        <v>76</v>
      </c>
      <c r="R510" s="9">
        <f t="shared" si="31"/>
        <v>0.35811782850169321</v>
      </c>
      <c r="S510">
        <v>36</v>
      </c>
      <c r="T510" s="9">
        <f t="shared" si="30"/>
        <v>-2.4619517221367584</v>
      </c>
    </row>
    <row r="511" spans="1:20" x14ac:dyDescent="0.25">
      <c r="A511">
        <v>510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>
        <v>0</v>
      </c>
      <c r="K511" t="str">
        <f xml:space="preserve"> IF(COUNTIF($D$2:$D1279,D511)&gt;1,"duplicated","original")</f>
        <v>duplicated</v>
      </c>
      <c r="L511" s="2">
        <f>COUNTIF($D$2:$D511,D511)</f>
        <v>28</v>
      </c>
      <c r="M511" t="str">
        <f xml:space="preserve"> IF(COUNTIF($I$2:$I1265,I511)&gt;1,"duplicated","original")</f>
        <v>original</v>
      </c>
      <c r="N511" s="2">
        <f>COUNTIF($I$2:$I511,I511)</f>
        <v>1</v>
      </c>
      <c r="O511" s="8">
        <f t="shared" si="28"/>
        <v>2.9973980914445737</v>
      </c>
      <c r="P511" s="8">
        <f t="shared" si="29"/>
        <v>5.5475248994261328</v>
      </c>
      <c r="Q511">
        <v>76</v>
      </c>
      <c r="R511" s="9">
        <f t="shared" si="31"/>
        <v>0.35811782850169321</v>
      </c>
      <c r="S511">
        <v>36</v>
      </c>
      <c r="T511" s="9">
        <f t="shared" si="30"/>
        <v>-0.25717007345578718</v>
      </c>
    </row>
    <row r="512" spans="1:20" x14ac:dyDescent="0.25">
      <c r="A512">
        <v>511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>
        <v>1</v>
      </c>
      <c r="K512" t="str">
        <f xml:space="preserve"> IF(COUNTIF($D$2:$D1280,D512)&gt;1,"duplicated","original")</f>
        <v>duplicated</v>
      </c>
      <c r="L512" s="2">
        <f>COUNTIF($D$2:$D512,D512)</f>
        <v>33</v>
      </c>
      <c r="M512" t="str">
        <f xml:space="preserve"> IF(COUNTIF($I$2:$I1280,I512)&gt;1,"duplicated","original")</f>
        <v>duplicated</v>
      </c>
      <c r="N512" s="2">
        <f>COUNTIF($I$2:$I512,I512)</f>
        <v>8</v>
      </c>
      <c r="O512" s="8">
        <f t="shared" si="28"/>
        <v>1.7275402509335562</v>
      </c>
      <c r="P512" s="8">
        <f t="shared" si="29"/>
        <v>3.5742177479489028</v>
      </c>
      <c r="Q512">
        <v>76</v>
      </c>
      <c r="R512" s="9">
        <f t="shared" si="31"/>
        <v>0.35811782850169321</v>
      </c>
      <c r="S512">
        <v>36</v>
      </c>
      <c r="T512" s="9">
        <f t="shared" si="30"/>
        <v>-1.1801019263920078</v>
      </c>
    </row>
    <row r="513" spans="1:20" x14ac:dyDescent="0.25">
      <c r="A513">
        <v>512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>
        <v>0</v>
      </c>
      <c r="K513" t="str">
        <f xml:space="preserve"> IF(COUNTIF($D$2:$D1267,$D$3)&gt;1,"duplicated","original")</f>
        <v>duplicated</v>
      </c>
      <c r="L513" s="2">
        <f>COUNTIF($D$2:$D513,D513)</f>
        <v>23</v>
      </c>
      <c r="M513" t="str">
        <f xml:space="preserve"> IF(COUNTIF($I$2:$I1281,I513)&gt;1,"duplicated","original")</f>
        <v>duplicated</v>
      </c>
      <c r="N513" s="2">
        <f>COUNTIF($I$2:$I513,I513)</f>
        <v>44</v>
      </c>
      <c r="O513" s="8">
        <f t="shared" si="28"/>
        <v>2.648698676974115</v>
      </c>
      <c r="P513" s="8">
        <f t="shared" si="29"/>
        <v>3.4964220984096119</v>
      </c>
      <c r="Q513">
        <v>76</v>
      </c>
      <c r="R513" s="9">
        <f t="shared" si="31"/>
        <v>0.35811782850169321</v>
      </c>
      <c r="S513">
        <v>36</v>
      </c>
      <c r="T513" s="9">
        <f t="shared" si="30"/>
        <v>-2.4619517221367584</v>
      </c>
    </row>
    <row r="514" spans="1:20" x14ac:dyDescent="0.25">
      <c r="A514">
        <v>513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>
        <v>0</v>
      </c>
      <c r="K514" t="str">
        <f xml:space="preserve"> IF(COUNTIF($D$2:$D1282,D514)&gt;1,"duplicated","original")</f>
        <v>duplicated</v>
      </c>
      <c r="L514" s="2">
        <f>COUNTIF($D$2:$D514,D514)</f>
        <v>36</v>
      </c>
      <c r="M514" t="str">
        <f xml:space="preserve"> IF(COUNTIF($I$2:$I1282,I514)&gt;1,"duplicated","original")</f>
        <v>duplicated</v>
      </c>
      <c r="N514" s="2">
        <f>COUNTIF($I$2:$I514,I514)</f>
        <v>6</v>
      </c>
      <c r="O514" s="8">
        <f t="shared" ref="O514:O577" si="32">SQRT(ABS($D514 - $U$8))</f>
        <v>1.0077721376404618</v>
      </c>
      <c r="P514" s="8">
        <f t="shared" ref="P514:P577" si="33">SQRT(ABS($I514 - $W$8))</f>
        <v>4.9774524116010319</v>
      </c>
      <c r="Q514">
        <v>76</v>
      </c>
      <c r="R514" s="9">
        <f t="shared" si="31"/>
        <v>0.35811782850169321</v>
      </c>
      <c r="S514">
        <v>36</v>
      </c>
      <c r="T514" s="9">
        <f t="shared" si="30"/>
        <v>-0.56481402443452733</v>
      </c>
    </row>
    <row r="515" spans="1:20" x14ac:dyDescent="0.25">
      <c r="A515">
        <v>514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>
        <v>0</v>
      </c>
      <c r="K515" t="str">
        <f xml:space="preserve"> IF(COUNTIF($D$2:$D1283,D515)&gt;1,"duplicated","original")</f>
        <v>duplicated</v>
      </c>
      <c r="L515" s="2">
        <f>COUNTIF($D$2:$D515,D515)</f>
        <v>24</v>
      </c>
      <c r="M515" t="str">
        <f xml:space="preserve"> IF(COUNTIF($I$2:$I1269,I515)&gt;1,"duplicated","original")</f>
        <v>duplicated</v>
      </c>
      <c r="N515" s="2">
        <f>COUNTIF($I$2:$I515,I515)</f>
        <v>45</v>
      </c>
      <c r="O515" s="8">
        <f t="shared" si="32"/>
        <v>2.648698676974115</v>
      </c>
      <c r="P515" s="8">
        <f t="shared" si="33"/>
        <v>3.3503682618851132</v>
      </c>
      <c r="Q515">
        <v>76</v>
      </c>
      <c r="R515" s="9">
        <f t="shared" si="31"/>
        <v>0.35811782850169321</v>
      </c>
      <c r="S515">
        <v>36</v>
      </c>
      <c r="T515" s="9">
        <f t="shared" ref="T515:T578" si="34">STANDARDIZE($I515,$U$8,$U$26)</f>
        <v>-2.4106777303069684</v>
      </c>
    </row>
    <row r="516" spans="1:20" x14ac:dyDescent="0.25">
      <c r="A516">
        <v>515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>
        <v>0</v>
      </c>
      <c r="K516" t="str">
        <f xml:space="preserve"> IF(COUNTIF($D$2:$D1270,$D$3)&gt;1,"duplicated","original")</f>
        <v>duplicated</v>
      </c>
      <c r="L516" s="2">
        <f>COUNTIF($D$2:$D516,D516)</f>
        <v>7</v>
      </c>
      <c r="M516" t="str">
        <f xml:space="preserve"> IF(COUNTIF($I$2:$I1284,I516)&gt;1,"duplicated","original")</f>
        <v>duplicated</v>
      </c>
      <c r="N516" s="2">
        <f>COUNTIF($I$2:$I516,I516)</f>
        <v>31</v>
      </c>
      <c r="O516" s="8">
        <f t="shared" si="32"/>
        <v>3.8749973782448452</v>
      </c>
      <c r="P516" s="8">
        <f t="shared" si="33"/>
        <v>3.0372631578852487</v>
      </c>
      <c r="Q516">
        <v>76</v>
      </c>
      <c r="R516" s="9">
        <f t="shared" si="31"/>
        <v>0.35811782850169321</v>
      </c>
      <c r="S516">
        <v>36</v>
      </c>
      <c r="T516" s="9">
        <f t="shared" si="34"/>
        <v>-2.3081297466473885</v>
      </c>
    </row>
    <row r="517" spans="1:20" x14ac:dyDescent="0.25">
      <c r="A517">
        <v>516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>
        <v>1</v>
      </c>
      <c r="K517" t="str">
        <f xml:space="preserve"> IF(COUNTIF($D$2:$D1285,D517)&gt;1,"duplicated","original")</f>
        <v>duplicated</v>
      </c>
      <c r="L517" s="2">
        <f>COUNTIF($D$2:$D517,D517)</f>
        <v>39</v>
      </c>
      <c r="M517" t="str">
        <f xml:space="preserve"> IF(COUNTIF($I$2:$I1285,I517)&gt;1,"duplicated","original")</f>
        <v>duplicated</v>
      </c>
      <c r="N517" s="2">
        <f>COUNTIF($I$2:$I517,I517)</f>
        <v>23</v>
      </c>
      <c r="O517" s="8">
        <f t="shared" si="32"/>
        <v>0.99216698120607405</v>
      </c>
      <c r="P517" s="8">
        <f t="shared" si="33"/>
        <v>2.2858187789601945</v>
      </c>
      <c r="Q517">
        <v>76</v>
      </c>
      <c r="R517" s="9">
        <f t="shared" ref="R517:R580" si="35">STANDARDIZE($Q517,$U$8,$U$26)</f>
        <v>0.35811782850169321</v>
      </c>
      <c r="S517">
        <v>37</v>
      </c>
      <c r="T517" s="9">
        <f t="shared" si="34"/>
        <v>-2.1030337793282281</v>
      </c>
    </row>
    <row r="518" spans="1:20" x14ac:dyDescent="0.25">
      <c r="A518">
        <v>517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>
        <v>1</v>
      </c>
      <c r="K518" t="str">
        <f xml:space="preserve"> IF(COUNTIF($D$2:$D1286,D518)&gt;1,"duplicated","original")</f>
        <v>duplicated</v>
      </c>
      <c r="L518" s="2">
        <f>COUNTIF($D$2:$D518,D518)</f>
        <v>14</v>
      </c>
      <c r="M518" t="str">
        <f xml:space="preserve"> IF(COUNTIF($I$2:$I1286,I518)&gt;1,"duplicated","original")</f>
        <v>duplicated</v>
      </c>
      <c r="N518" s="2">
        <f>COUNTIF($I$2:$I518,I518)</f>
        <v>2</v>
      </c>
      <c r="O518" s="8">
        <f t="shared" si="32"/>
        <v>4.3571085961444176</v>
      </c>
      <c r="P518" s="8">
        <f t="shared" si="33"/>
        <v>4.4469126941905355</v>
      </c>
      <c r="Q518">
        <v>76</v>
      </c>
      <c r="R518" s="9">
        <f t="shared" si="35"/>
        <v>0.35811782850169321</v>
      </c>
      <c r="S518">
        <v>37</v>
      </c>
      <c r="T518" s="9">
        <f t="shared" si="34"/>
        <v>-0.82118398358347755</v>
      </c>
    </row>
    <row r="519" spans="1:20" x14ac:dyDescent="0.25">
      <c r="A519">
        <v>518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>
        <v>0</v>
      </c>
      <c r="K519" t="str">
        <f xml:space="preserve"> IF(COUNTIF($D$2:$D1273,$D$3)&gt;1,"duplicated","original")</f>
        <v>duplicated</v>
      </c>
      <c r="L519" s="2">
        <f>COUNTIF($D$2:$D519,D519)</f>
        <v>12</v>
      </c>
      <c r="M519" t="str">
        <f xml:space="preserve"> IF(COUNTIF($I$2:$I1273,I519)&gt;1,"duplicated","original")</f>
        <v>duplicated</v>
      </c>
      <c r="N519" s="2">
        <f>COUNTIF($I$2:$I519,I519)</f>
        <v>7</v>
      </c>
      <c r="O519" s="8">
        <f t="shared" si="32"/>
        <v>4.121212845582666</v>
      </c>
      <c r="P519" s="8">
        <f t="shared" si="33"/>
        <v>4.2160446522484705</v>
      </c>
      <c r="Q519">
        <v>76</v>
      </c>
      <c r="R519" s="9">
        <f t="shared" si="35"/>
        <v>0.35811782850169321</v>
      </c>
      <c r="S519">
        <v>37</v>
      </c>
      <c r="T519" s="9">
        <f t="shared" si="34"/>
        <v>-0.92373196724305762</v>
      </c>
    </row>
    <row r="520" spans="1:20" x14ac:dyDescent="0.25">
      <c r="A520">
        <v>519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>
        <v>0</v>
      </c>
      <c r="K520" t="str">
        <f xml:space="preserve"> IF(COUNTIF($D$2:$D1288,D520)&gt;1,"duplicated","original")</f>
        <v>duplicated</v>
      </c>
      <c r="L520" s="2">
        <f>COUNTIF($D$2:$D520,D520)</f>
        <v>20</v>
      </c>
      <c r="M520" t="str">
        <f xml:space="preserve"> IF(COUNTIF($I$2:$I1288,I520)&gt;1,"duplicated","original")</f>
        <v>duplicated</v>
      </c>
      <c r="N520" s="2">
        <f>COUNTIF($I$2:$I520,I520)</f>
        <v>19</v>
      </c>
      <c r="O520" s="8">
        <f t="shared" si="32"/>
        <v>3.002599653867366</v>
      </c>
      <c r="P520" s="8">
        <f t="shared" si="33"/>
        <v>2.7883745282427403</v>
      </c>
      <c r="Q520">
        <v>76</v>
      </c>
      <c r="R520" s="9">
        <f t="shared" si="35"/>
        <v>0.35811782850169321</v>
      </c>
      <c r="S520">
        <v>37</v>
      </c>
      <c r="T520" s="9">
        <f t="shared" si="34"/>
        <v>-1.4364718855409579</v>
      </c>
    </row>
    <row r="521" spans="1:20" x14ac:dyDescent="0.25">
      <c r="A521">
        <v>520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>
        <v>0</v>
      </c>
      <c r="K521" t="str">
        <f xml:space="preserve"> IF(COUNTIF($D$2:$D1289,D521)&gt;1,"duplicated","original")</f>
        <v>duplicated</v>
      </c>
      <c r="L521" s="2">
        <f>COUNTIF($D$2:$D521,D521)</f>
        <v>16</v>
      </c>
      <c r="M521" t="str">
        <f xml:space="preserve"> IF(COUNTIF($I$2:$I1289,I521)&gt;1,"duplicated","original")</f>
        <v>duplicated</v>
      </c>
      <c r="N521" s="2">
        <f>COUNTIF($I$2:$I521,I521)</f>
        <v>5</v>
      </c>
      <c r="O521" s="8">
        <f t="shared" si="32"/>
        <v>4.5808727682173815</v>
      </c>
      <c r="P521" s="8">
        <f t="shared" si="33"/>
        <v>5.1744596345660021</v>
      </c>
      <c r="Q521">
        <v>78</v>
      </c>
      <c r="R521" s="9">
        <f t="shared" si="35"/>
        <v>0.46066581216127328</v>
      </c>
      <c r="S521">
        <v>37</v>
      </c>
      <c r="T521" s="9">
        <f t="shared" si="34"/>
        <v>-0.46226604077494732</v>
      </c>
    </row>
    <row r="522" spans="1:20" x14ac:dyDescent="0.25">
      <c r="A522">
        <v>521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>
        <v>0</v>
      </c>
      <c r="K522" t="str">
        <f xml:space="preserve"> IF(COUNTIF($D$2:$D1276,$D$3)&gt;1,"duplicated","original")</f>
        <v>duplicated</v>
      </c>
      <c r="L522" s="2">
        <f>COUNTIF($D$2:$D522,D522)</f>
        <v>40</v>
      </c>
      <c r="M522" t="str">
        <f xml:space="preserve"> IF(COUNTIF($I$2:$I1290,I522)&gt;1,"duplicated","original")</f>
        <v>duplicated</v>
      </c>
      <c r="N522" s="2">
        <f>COUNTIF($I$2:$I522,I522)</f>
        <v>35</v>
      </c>
      <c r="O522" s="8">
        <f t="shared" si="32"/>
        <v>0.99216698120607405</v>
      </c>
      <c r="P522" s="8">
        <f t="shared" si="33"/>
        <v>2.8679204121186967</v>
      </c>
      <c r="Q522">
        <v>78</v>
      </c>
      <c r="R522" s="9">
        <f t="shared" si="35"/>
        <v>0.46066581216127328</v>
      </c>
      <c r="S522">
        <v>37</v>
      </c>
      <c r="T522" s="9">
        <f t="shared" si="34"/>
        <v>-2.2568557548175985</v>
      </c>
    </row>
    <row r="523" spans="1:20" x14ac:dyDescent="0.25">
      <c r="A523">
        <v>522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>
        <v>0</v>
      </c>
      <c r="K523" t="str">
        <f xml:space="preserve"> IF(COUNTIF($D$2:$D1291,D523)&gt;1,"duplicated","original")</f>
        <v>duplicated</v>
      </c>
      <c r="L523" s="2">
        <f>COUNTIF($D$2:$D523,D523)</f>
        <v>26</v>
      </c>
      <c r="M523" t="str">
        <f xml:space="preserve"> IF(COUNTIF($I$2:$I1277,I523)&gt;1,"duplicated","original")</f>
        <v>duplicated</v>
      </c>
      <c r="N523" s="2">
        <f>COUNTIF($I$2:$I523,I523)</f>
        <v>24</v>
      </c>
      <c r="O523" s="8">
        <f t="shared" si="32"/>
        <v>3.3142714612106796</v>
      </c>
      <c r="P523" s="8">
        <f t="shared" si="33"/>
        <v>2.6879299637912952</v>
      </c>
      <c r="Q523">
        <v>78</v>
      </c>
      <c r="R523" s="9">
        <f t="shared" si="35"/>
        <v>0.46066581216127328</v>
      </c>
      <c r="S523">
        <v>37</v>
      </c>
      <c r="T523" s="9">
        <f t="shared" si="34"/>
        <v>-2.2055817629878085</v>
      </c>
    </row>
    <row r="524" spans="1:20" x14ac:dyDescent="0.25">
      <c r="A524">
        <v>523</v>
      </c>
      <c r="B524">
        <v>6</v>
      </c>
      <c r="C524">
        <v>114</v>
      </c>
      <c r="D524">
        <v>0</v>
      </c>
      <c r="E524">
        <v>0</v>
      </c>
      <c r="F524">
        <v>0</v>
      </c>
      <c r="G524">
        <v>0</v>
      </c>
      <c r="H524">
        <v>0.189</v>
      </c>
      <c r="I524">
        <v>26</v>
      </c>
      <c r="J524">
        <v>0</v>
      </c>
      <c r="K524" t="str">
        <f xml:space="preserve"> IF(COUNTIF($D$2:$D1292,D524)&gt;1,"duplicated","original")</f>
        <v>duplicated</v>
      </c>
      <c r="L524" s="2">
        <f>COUNTIF($D$2:$D524,D524)</f>
        <v>25</v>
      </c>
      <c r="M524" t="str">
        <f xml:space="preserve"> IF(COUNTIF($I$2:$I1292,I524)&gt;1,"duplicated","original")</f>
        <v>duplicated</v>
      </c>
      <c r="N524" s="2">
        <f>COUNTIF($I$2:$I524,I524)</f>
        <v>25</v>
      </c>
      <c r="O524" s="8">
        <f t="shared" si="32"/>
        <v>8.3075631012592623</v>
      </c>
      <c r="P524" s="8">
        <f t="shared" si="33"/>
        <v>2.6879299637912952</v>
      </c>
      <c r="Q524">
        <v>78</v>
      </c>
      <c r="R524" s="9">
        <f t="shared" si="35"/>
        <v>0.46066581216127328</v>
      </c>
      <c r="S524">
        <v>37</v>
      </c>
      <c r="T524" s="9">
        <f t="shared" si="34"/>
        <v>-2.2055817629878085</v>
      </c>
    </row>
    <row r="525" spans="1:20" x14ac:dyDescent="0.25">
      <c r="A525">
        <v>524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>
        <v>1</v>
      </c>
      <c r="K525" t="str">
        <f xml:space="preserve"> IF(COUNTIF($D$2:$D1279,$D$3)&gt;1,"duplicated","original")</f>
        <v>duplicated</v>
      </c>
      <c r="L525" s="2">
        <f>COUNTIF($D$2:$D525,D525)</f>
        <v>41</v>
      </c>
      <c r="M525" t="str">
        <f xml:space="preserve"> IF(COUNTIF($I$2:$I1293,I525)&gt;1,"duplicated","original")</f>
        <v>duplicated</v>
      </c>
      <c r="N525" s="2">
        <f>COUNTIF($I$2:$I525,I525)</f>
        <v>7</v>
      </c>
      <c r="O525" s="8">
        <f t="shared" si="32"/>
        <v>0.99216698120607405</v>
      </c>
      <c r="P525" s="8">
        <f t="shared" si="33"/>
        <v>3.4314767243495803</v>
      </c>
      <c r="Q525">
        <v>78</v>
      </c>
      <c r="R525" s="9">
        <f t="shared" si="35"/>
        <v>0.46066581216127328</v>
      </c>
      <c r="S525">
        <v>37</v>
      </c>
      <c r="T525" s="9">
        <f t="shared" si="34"/>
        <v>-1.2313759182217978</v>
      </c>
    </row>
    <row r="526" spans="1:20" x14ac:dyDescent="0.25">
      <c r="A526">
        <v>525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>
        <v>0</v>
      </c>
      <c r="K526" t="str">
        <f xml:space="preserve"> IF(COUNTIF($D$2:$D1294,D526)&gt;1,"duplicated","original")</f>
        <v>duplicated</v>
      </c>
      <c r="L526" s="2">
        <f>COUNTIF($D$2:$D526,D526)</f>
        <v>12</v>
      </c>
      <c r="M526" t="str">
        <f xml:space="preserve"> IF(COUNTIF($I$2:$I1294,I526)&gt;1,"duplicated","original")</f>
        <v>duplicated</v>
      </c>
      <c r="N526" s="2">
        <f>COUNTIF($I$2:$I526,I526)</f>
        <v>32</v>
      </c>
      <c r="O526" s="8">
        <f t="shared" si="32"/>
        <v>3.3189764508662045</v>
      </c>
      <c r="P526" s="8">
        <f t="shared" si="33"/>
        <v>3.0372631578852487</v>
      </c>
      <c r="Q526">
        <v>78</v>
      </c>
      <c r="R526" s="9">
        <f t="shared" si="35"/>
        <v>0.46066581216127328</v>
      </c>
      <c r="S526">
        <v>37</v>
      </c>
      <c r="T526" s="9">
        <f t="shared" si="34"/>
        <v>-2.3081297466473885</v>
      </c>
    </row>
    <row r="527" spans="1:20" x14ac:dyDescent="0.25">
      <c r="A527">
        <v>526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>
        <v>0</v>
      </c>
      <c r="K527" t="str">
        <f xml:space="preserve"> IF(COUNTIF($D$2:$D1295,D527)&gt;1,"duplicated","original")</f>
        <v>duplicated</v>
      </c>
      <c r="L527" s="2">
        <f>COUNTIF($D$2:$D527,D527)</f>
        <v>21</v>
      </c>
      <c r="M527" t="str">
        <f xml:space="preserve"> IF(COUNTIF($I$2:$I1281,I527)&gt;1,"duplicated","original")</f>
        <v>duplicated</v>
      </c>
      <c r="N527" s="2">
        <f>COUNTIF($I$2:$I527,I527)</f>
        <v>45</v>
      </c>
      <c r="O527" s="8">
        <f t="shared" si="32"/>
        <v>3.002599653867366</v>
      </c>
      <c r="P527" s="8">
        <f t="shared" si="33"/>
        <v>3.4964220984096119</v>
      </c>
      <c r="Q527">
        <v>78</v>
      </c>
      <c r="R527" s="9">
        <f t="shared" si="35"/>
        <v>0.46066581216127328</v>
      </c>
      <c r="S527">
        <v>37</v>
      </c>
      <c r="T527" s="9">
        <f t="shared" si="34"/>
        <v>-2.4619517221367584</v>
      </c>
    </row>
    <row r="528" spans="1:20" x14ac:dyDescent="0.25">
      <c r="A528">
        <v>527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>
        <v>0</v>
      </c>
      <c r="K528" t="str">
        <f xml:space="preserve"> IF(COUNTIF($D$2:$D1282,$D$3)&gt;1,"duplicated","original")</f>
        <v>duplicated</v>
      </c>
      <c r="L528" s="2">
        <f>COUNTIF($D$2:$D528,D528)</f>
        <v>36</v>
      </c>
      <c r="M528" t="str">
        <f xml:space="preserve"> IF(COUNTIF($I$2:$I1296,I528)&gt;1,"duplicated","original")</f>
        <v>duplicated</v>
      </c>
      <c r="N528" s="2">
        <f>COUNTIF($I$2:$I528,I528)</f>
        <v>46</v>
      </c>
      <c r="O528" s="8">
        <f t="shared" si="32"/>
        <v>2.2395545720978594</v>
      </c>
      <c r="P528" s="8">
        <f t="shared" si="33"/>
        <v>3.4964220984096119</v>
      </c>
      <c r="Q528">
        <v>78</v>
      </c>
      <c r="R528" s="9">
        <f t="shared" si="35"/>
        <v>0.46066581216127328</v>
      </c>
      <c r="S528">
        <v>37</v>
      </c>
      <c r="T528" s="9">
        <f t="shared" si="34"/>
        <v>-2.4619517221367584</v>
      </c>
    </row>
    <row r="529" spans="1:20" x14ac:dyDescent="0.25">
      <c r="A529">
        <v>528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>
        <v>0</v>
      </c>
      <c r="K529" t="str">
        <f xml:space="preserve"> IF(COUNTIF($D$2:$D1297,D529)&gt;1,"duplicated","original")</f>
        <v>duplicated</v>
      </c>
      <c r="L529" s="2">
        <f>COUNTIF($D$2:$D529,D529)</f>
        <v>35</v>
      </c>
      <c r="M529" t="str">
        <f xml:space="preserve"> IF(COUNTIF($I$2:$I1297,I529)&gt;1,"duplicated","original")</f>
        <v>duplicated</v>
      </c>
      <c r="N529" s="2">
        <f>COUNTIF($I$2:$I529,I529)</f>
        <v>33</v>
      </c>
      <c r="O529" s="8">
        <f t="shared" si="32"/>
        <v>2.2325759379236296</v>
      </c>
      <c r="P529" s="8">
        <f t="shared" si="33"/>
        <v>3.0372631578852487</v>
      </c>
      <c r="Q529">
        <v>78</v>
      </c>
      <c r="R529" s="9">
        <f t="shared" si="35"/>
        <v>0.46066581216127328</v>
      </c>
      <c r="S529">
        <v>37</v>
      </c>
      <c r="T529" s="9">
        <f t="shared" si="34"/>
        <v>-2.3081297466473885</v>
      </c>
    </row>
    <row r="530" spans="1:20" x14ac:dyDescent="0.25">
      <c r="A530">
        <v>529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>
        <v>0</v>
      </c>
      <c r="K530" t="str">
        <f xml:space="preserve"> IF(COUNTIF($D$2:$D1298,D530)&gt;1,"duplicated","original")</f>
        <v>duplicated</v>
      </c>
      <c r="L530" s="2">
        <f>COUNTIF($D$2:$D530,D530)</f>
        <v>24</v>
      </c>
      <c r="M530" t="str">
        <f xml:space="preserve"> IF(COUNTIF($I$2:$I1298,I530)&gt;1,"duplicated","original")</f>
        <v>duplicated</v>
      </c>
      <c r="N530" s="2">
        <f>COUNTIF($I$2:$I530,I530)</f>
        <v>46</v>
      </c>
      <c r="O530" s="8">
        <f t="shared" si="32"/>
        <v>1.7365496484133203</v>
      </c>
      <c r="P530" s="8">
        <f t="shared" si="33"/>
        <v>3.3503682618851132</v>
      </c>
      <c r="Q530">
        <v>78</v>
      </c>
      <c r="R530" s="9">
        <f t="shared" si="35"/>
        <v>0.46066581216127328</v>
      </c>
      <c r="S530">
        <v>37</v>
      </c>
      <c r="T530" s="9">
        <f t="shared" si="34"/>
        <v>-2.4106777303069684</v>
      </c>
    </row>
    <row r="531" spans="1:20" x14ac:dyDescent="0.25">
      <c r="A531">
        <v>530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>
        <v>0</v>
      </c>
      <c r="K531" t="str">
        <f xml:space="preserve"> IF(COUNTIF($D$2:$D1285,$D$3)&gt;1,"duplicated","original")</f>
        <v>duplicated</v>
      </c>
      <c r="L531" s="2">
        <f>COUNTIF($D$2:$D531,D531)</f>
        <v>6</v>
      </c>
      <c r="M531" t="str">
        <f xml:space="preserve"> IF(COUNTIF($I$2:$I1285,I531)&gt;1,"duplicated","original")</f>
        <v>duplicated</v>
      </c>
      <c r="N531" s="2">
        <f>COUNTIF($I$2:$I531,I531)</f>
        <v>18</v>
      </c>
      <c r="O531" s="8">
        <f t="shared" si="32"/>
        <v>2.0038973729720855</v>
      </c>
      <c r="P531" s="8">
        <f t="shared" si="33"/>
        <v>1.4916324916838848</v>
      </c>
      <c r="Q531">
        <v>78</v>
      </c>
      <c r="R531" s="9">
        <f t="shared" si="35"/>
        <v>0.46066581216127328</v>
      </c>
      <c r="S531">
        <v>37</v>
      </c>
      <c r="T531" s="9">
        <f t="shared" si="34"/>
        <v>-1.9492118038388582</v>
      </c>
    </row>
    <row r="532" spans="1:20" x14ac:dyDescent="0.25">
      <c r="A532">
        <v>531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>
        <v>0</v>
      </c>
      <c r="K532" t="str">
        <f xml:space="preserve"> IF(COUNTIF($D$2:$D1300,D532)&gt;1,"duplicated","original")</f>
        <v>duplicated</v>
      </c>
      <c r="L532" s="2">
        <f>COUNTIF($D$2:$D532,D532)</f>
        <v>22</v>
      </c>
      <c r="M532" t="str">
        <f xml:space="preserve"> IF(COUNTIF($I$2:$I1300,I532)&gt;1,"duplicated","original")</f>
        <v>duplicated</v>
      </c>
      <c r="N532" s="2">
        <f>COUNTIF($I$2:$I532,I532)</f>
        <v>47</v>
      </c>
      <c r="O532" s="8">
        <f t="shared" si="32"/>
        <v>3.002599653867366</v>
      </c>
      <c r="P532" s="8">
        <f t="shared" si="33"/>
        <v>3.3503682618851132</v>
      </c>
      <c r="Q532">
        <v>78</v>
      </c>
      <c r="R532" s="9">
        <f t="shared" si="35"/>
        <v>0.46066581216127328</v>
      </c>
      <c r="S532">
        <v>37</v>
      </c>
      <c r="T532" s="9">
        <f t="shared" si="34"/>
        <v>-2.4106777303069684</v>
      </c>
    </row>
    <row r="533" spans="1:20" x14ac:dyDescent="0.25">
      <c r="A533">
        <v>532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>
        <v>0</v>
      </c>
      <c r="K533" t="str">
        <f xml:space="preserve"> IF(COUNTIF($D$2:$D1301,D533)&gt;1,"duplicated","original")</f>
        <v>duplicated</v>
      </c>
      <c r="L533" s="2">
        <f>COUNTIF($D$2:$D533,D533)</f>
        <v>23</v>
      </c>
      <c r="M533" t="str">
        <f xml:space="preserve"> IF(COUNTIF($I$2:$I1301,I533)&gt;1,"duplicated","original")</f>
        <v>duplicated</v>
      </c>
      <c r="N533" s="2">
        <f>COUNTIF($I$2:$I533,I533)</f>
        <v>34</v>
      </c>
      <c r="O533" s="8">
        <f t="shared" si="32"/>
        <v>2.642800658126824</v>
      </c>
      <c r="P533" s="8">
        <f t="shared" si="33"/>
        <v>3.0372631578852487</v>
      </c>
      <c r="Q533">
        <v>78</v>
      </c>
      <c r="R533" s="9">
        <f t="shared" si="35"/>
        <v>0.46066581216127328</v>
      </c>
      <c r="S533">
        <v>37</v>
      </c>
      <c r="T533" s="9">
        <f t="shared" si="34"/>
        <v>-2.3081297466473885</v>
      </c>
    </row>
    <row r="534" spans="1:20" x14ac:dyDescent="0.25">
      <c r="A534">
        <v>533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>
        <v>0</v>
      </c>
      <c r="K534" t="str">
        <f xml:space="preserve"> IF(COUNTIF($D$2:$D1288,$D$3)&gt;1,"duplicated","original")</f>
        <v>duplicated</v>
      </c>
      <c r="L534" s="2">
        <f>COUNTIF($D$2:$D534,D534)</f>
        <v>25</v>
      </c>
      <c r="M534" t="str">
        <f xml:space="preserve"> IF(COUNTIF($I$2:$I1302,I534)&gt;1,"duplicated","original")</f>
        <v>duplicated</v>
      </c>
      <c r="N534" s="2">
        <f>COUNTIF($I$2:$I534,I534)</f>
        <v>25</v>
      </c>
      <c r="O534" s="8">
        <f t="shared" si="32"/>
        <v>1.7365496484133203</v>
      </c>
      <c r="P534" s="8">
        <f t="shared" si="33"/>
        <v>2.0554725710276638</v>
      </c>
      <c r="Q534">
        <v>78</v>
      </c>
      <c r="R534" s="9">
        <f t="shared" si="35"/>
        <v>0.46066581216127328</v>
      </c>
      <c r="S534">
        <v>37</v>
      </c>
      <c r="T534" s="9">
        <f t="shared" si="34"/>
        <v>-2.0517597874984381</v>
      </c>
    </row>
    <row r="535" spans="1:20" x14ac:dyDescent="0.25">
      <c r="A535">
        <v>534</v>
      </c>
      <c r="B535">
        <v>6</v>
      </c>
      <c r="C535">
        <v>91</v>
      </c>
      <c r="D535">
        <v>0</v>
      </c>
      <c r="E535">
        <v>0</v>
      </c>
      <c r="F535">
        <v>0</v>
      </c>
      <c r="G535">
        <v>29.8</v>
      </c>
      <c r="H535">
        <v>0.501</v>
      </c>
      <c r="I535">
        <v>31</v>
      </c>
      <c r="J535">
        <v>0</v>
      </c>
      <c r="K535" t="str">
        <f xml:space="preserve"> IF(COUNTIF($D$2:$D1303,D535)&gt;1,"duplicated","original")</f>
        <v>duplicated</v>
      </c>
      <c r="L535" s="2">
        <f>COUNTIF($D$2:$D535,D535)</f>
        <v>26</v>
      </c>
      <c r="M535" t="str">
        <f xml:space="preserve"> IF(COUNTIF($I$2:$I1289,I535)&gt;1,"duplicated","original")</f>
        <v>duplicated</v>
      </c>
      <c r="N535" s="2">
        <f>COUNTIF($I$2:$I535,I535)</f>
        <v>19</v>
      </c>
      <c r="O535" s="8">
        <f t="shared" si="32"/>
        <v>8.3075631012592623</v>
      </c>
      <c r="P535" s="8">
        <f t="shared" si="33"/>
        <v>1.4916324916838848</v>
      </c>
      <c r="Q535">
        <v>78</v>
      </c>
      <c r="R535" s="9">
        <f t="shared" si="35"/>
        <v>0.46066581216127328</v>
      </c>
      <c r="S535">
        <v>37</v>
      </c>
      <c r="T535" s="9">
        <f t="shared" si="34"/>
        <v>-1.9492118038388582</v>
      </c>
    </row>
    <row r="536" spans="1:20" x14ac:dyDescent="0.25">
      <c r="A536">
        <v>535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>
        <v>0</v>
      </c>
      <c r="K536" t="str">
        <f xml:space="preserve"> IF(COUNTIF($D$2:$D1304,D536)&gt;1,"duplicated","original")</f>
        <v>duplicated</v>
      </c>
      <c r="L536" s="2">
        <f>COUNTIF($D$2:$D536,D536)</f>
        <v>9</v>
      </c>
      <c r="M536" t="str">
        <f xml:space="preserve"> IF(COUNTIF($I$2:$I1304,I536)&gt;1,"duplicated","original")</f>
        <v>duplicated</v>
      </c>
      <c r="N536" s="2">
        <f>COUNTIF($I$2:$I536,I536)</f>
        <v>35</v>
      </c>
      <c r="O536" s="8">
        <f t="shared" si="32"/>
        <v>3.6077146064239098</v>
      </c>
      <c r="P536" s="8">
        <f t="shared" si="33"/>
        <v>3.0372631578852487</v>
      </c>
      <c r="Q536">
        <v>78</v>
      </c>
      <c r="R536" s="9">
        <f t="shared" si="35"/>
        <v>0.46066581216127328</v>
      </c>
      <c r="S536">
        <v>38</v>
      </c>
      <c r="T536" s="9">
        <f t="shared" si="34"/>
        <v>-2.3081297466473885</v>
      </c>
    </row>
    <row r="537" spans="1:20" x14ac:dyDescent="0.25">
      <c r="A537">
        <v>536</v>
      </c>
      <c r="B537">
        <v>4</v>
      </c>
      <c r="C537">
        <v>132</v>
      </c>
      <c r="D537">
        <v>0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>
        <v>1</v>
      </c>
      <c r="K537" t="str">
        <f xml:space="preserve"> IF(COUNTIF($D$2:$D1291,$D$3)&gt;1,"duplicated","original")</f>
        <v>duplicated</v>
      </c>
      <c r="L537" s="2">
        <f>COUNTIF($D$2:$D537,D537)</f>
        <v>27</v>
      </c>
      <c r="M537" t="str">
        <f xml:space="preserve"> IF(COUNTIF($I$2:$I1305,I537)&gt;1,"duplicated","original")</f>
        <v>duplicated</v>
      </c>
      <c r="N537" s="2">
        <f>COUNTIF($I$2:$I537,I537)</f>
        <v>24</v>
      </c>
      <c r="O537" s="8">
        <f t="shared" si="32"/>
        <v>8.3075631012592623</v>
      </c>
      <c r="P537" s="8">
        <f t="shared" si="33"/>
        <v>3.1976503076864229</v>
      </c>
      <c r="Q537">
        <v>78</v>
      </c>
      <c r="R537" s="9">
        <f t="shared" si="35"/>
        <v>0.46066581216127328</v>
      </c>
      <c r="S537">
        <v>38</v>
      </c>
      <c r="T537" s="9">
        <f t="shared" si="34"/>
        <v>-2.3594037384771784</v>
      </c>
    </row>
    <row r="538" spans="1:20" x14ac:dyDescent="0.25">
      <c r="A538">
        <v>537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>
        <v>0</v>
      </c>
      <c r="K538" t="str">
        <f xml:space="preserve"> IF(COUNTIF($D$2:$D1306,D538)&gt;1,"duplicated","original")</f>
        <v>duplicated</v>
      </c>
      <c r="L538" s="2">
        <f>COUNTIF($D$2:$D538,D538)</f>
        <v>17</v>
      </c>
      <c r="M538" t="str">
        <f xml:space="preserve"> IF(COUNTIF($I$2:$I1306,I538)&gt;1,"duplicated","original")</f>
        <v>duplicated</v>
      </c>
      <c r="N538" s="2">
        <f>COUNTIF($I$2:$I538,I538)</f>
        <v>9</v>
      </c>
      <c r="O538" s="8">
        <f t="shared" si="32"/>
        <v>4.5808727682173815</v>
      </c>
      <c r="P538" s="8">
        <f t="shared" si="33"/>
        <v>3.5742177479489028</v>
      </c>
      <c r="Q538">
        <v>78</v>
      </c>
      <c r="R538" s="9">
        <f t="shared" si="35"/>
        <v>0.46066581216127328</v>
      </c>
      <c r="S538">
        <v>38</v>
      </c>
      <c r="T538" s="9">
        <f t="shared" si="34"/>
        <v>-1.1801019263920078</v>
      </c>
    </row>
    <row r="539" spans="1:20" x14ac:dyDescent="0.25">
      <c r="A539">
        <v>538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>
        <v>0</v>
      </c>
      <c r="K539" t="str">
        <f xml:space="preserve"> IF(COUNTIF($D$2:$D1307,D539)&gt;1,"duplicated","original")</f>
        <v>duplicated</v>
      </c>
      <c r="L539" s="2">
        <f>COUNTIF($D$2:$D539,D539)</f>
        <v>23</v>
      </c>
      <c r="M539" t="str">
        <f xml:space="preserve"> IF(COUNTIF($I$2:$I1293,I539)&gt;1,"duplicated","original")</f>
        <v>duplicated</v>
      </c>
      <c r="N539" s="2">
        <f>COUNTIF($I$2:$I539,I539)</f>
        <v>3</v>
      </c>
      <c r="O539" s="8">
        <f t="shared" si="32"/>
        <v>3.002599653867366</v>
      </c>
      <c r="P539" s="8">
        <f t="shared" si="33"/>
        <v>5.8116290753757616</v>
      </c>
      <c r="Q539">
        <v>78</v>
      </c>
      <c r="R539" s="9">
        <f t="shared" si="35"/>
        <v>0.46066581216127328</v>
      </c>
      <c r="S539">
        <v>38</v>
      </c>
      <c r="T539" s="9">
        <f t="shared" si="34"/>
        <v>-0.10334809796641707</v>
      </c>
    </row>
    <row r="540" spans="1:20" x14ac:dyDescent="0.25">
      <c r="A540">
        <v>539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>
        <v>0</v>
      </c>
      <c r="K540" t="str">
        <f xml:space="preserve"> IF(COUNTIF($D$2:$D1294,$D$3)&gt;1,"duplicated","original")</f>
        <v>duplicated</v>
      </c>
      <c r="L540" s="2">
        <f>COUNTIF($D$2:$D540,D540)</f>
        <v>27</v>
      </c>
      <c r="M540" t="str">
        <f xml:space="preserve"> IF(COUNTIF($I$2:$I1308,I540)&gt;1,"duplicated","original")</f>
        <v>duplicated</v>
      </c>
      <c r="N540" s="2">
        <f>COUNTIF($I$2:$I540,I540)</f>
        <v>25</v>
      </c>
      <c r="O540" s="8">
        <f t="shared" si="32"/>
        <v>3.3142714612106796</v>
      </c>
      <c r="P540" s="8">
        <f t="shared" si="33"/>
        <v>3.1976503076864229</v>
      </c>
      <c r="Q540">
        <v>78</v>
      </c>
      <c r="R540" s="9">
        <f t="shared" si="35"/>
        <v>0.46066581216127328</v>
      </c>
      <c r="S540">
        <v>38</v>
      </c>
      <c r="T540" s="9">
        <f t="shared" si="34"/>
        <v>-2.3594037384771784</v>
      </c>
    </row>
    <row r="541" spans="1:20" x14ac:dyDescent="0.25">
      <c r="A541">
        <v>540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>
        <v>1</v>
      </c>
      <c r="K541" t="str">
        <f xml:space="preserve"> IF(COUNTIF($D$2:$D1309,D541)&gt;1,"duplicated","original")</f>
        <v>duplicated</v>
      </c>
      <c r="L541" s="2">
        <f>COUNTIF($D$2:$D541,D541)</f>
        <v>7</v>
      </c>
      <c r="M541" t="str">
        <f xml:space="preserve"> IF(COUNTIF($I$2:$I1309,I541)&gt;1,"duplicated","original")</f>
        <v>duplicated</v>
      </c>
      <c r="N541" s="2">
        <f>COUNTIF($I$2:$I541,I541)</f>
        <v>12</v>
      </c>
      <c r="O541" s="8">
        <f t="shared" si="32"/>
        <v>4.7942043467707522</v>
      </c>
      <c r="P541" s="8">
        <f t="shared" si="33"/>
        <v>1.1067824945521474</v>
      </c>
      <c r="Q541">
        <v>78</v>
      </c>
      <c r="R541" s="9">
        <f t="shared" si="35"/>
        <v>0.46066581216127328</v>
      </c>
      <c r="S541">
        <v>38</v>
      </c>
      <c r="T541" s="9">
        <f t="shared" si="34"/>
        <v>-1.8979378120090682</v>
      </c>
    </row>
    <row r="542" spans="1:20" x14ac:dyDescent="0.25">
      <c r="A542">
        <v>541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>
        <v>1</v>
      </c>
      <c r="K542" t="str">
        <f xml:space="preserve"> IF(COUNTIF($D$2:$D1310,D542)&gt;1,"duplicated","original")</f>
        <v>duplicated</v>
      </c>
      <c r="L542" s="2">
        <f>COUNTIF($D$2:$D542,D542)</f>
        <v>36</v>
      </c>
      <c r="M542" t="str">
        <f xml:space="preserve"> IF(COUNTIF($I$2:$I1310,I542)&gt;1,"duplicated","original")</f>
        <v>duplicated</v>
      </c>
      <c r="N542" s="2">
        <f>COUNTIF($I$2:$I542,I542)</f>
        <v>8</v>
      </c>
      <c r="O542" s="8">
        <f t="shared" si="32"/>
        <v>2.2325759379236296</v>
      </c>
      <c r="P542" s="8">
        <f t="shared" si="33"/>
        <v>3.1265048392338888</v>
      </c>
      <c r="Q542">
        <v>78</v>
      </c>
      <c r="R542" s="9">
        <f t="shared" si="35"/>
        <v>0.46066581216127328</v>
      </c>
      <c r="S542">
        <v>38</v>
      </c>
      <c r="T542" s="9">
        <f t="shared" si="34"/>
        <v>-1.3339239018813778</v>
      </c>
    </row>
    <row r="543" spans="1:20" x14ac:dyDescent="0.25">
      <c r="A543">
        <v>542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>
        <v>1</v>
      </c>
      <c r="K543" t="str">
        <f xml:space="preserve"> IF(COUNTIF($D$2:$D1297,$D$3)&gt;1,"duplicated","original")</f>
        <v>duplicated</v>
      </c>
      <c r="L543" s="2">
        <f>COUNTIF($D$2:$D543,D543)</f>
        <v>34</v>
      </c>
      <c r="M543" t="str">
        <f xml:space="preserve"> IF(COUNTIF($I$2:$I1297,I543)&gt;1,"duplicated","original")</f>
        <v>duplicated</v>
      </c>
      <c r="N543" s="2">
        <f>COUNTIF($I$2:$I543,I543)</f>
        <v>19</v>
      </c>
      <c r="O543" s="8">
        <f t="shared" si="32"/>
        <v>1.7275402509335562</v>
      </c>
      <c r="P543" s="8">
        <f t="shared" si="33"/>
        <v>2.4949884749727951</v>
      </c>
      <c r="Q543">
        <v>78</v>
      </c>
      <c r="R543" s="9">
        <f t="shared" si="35"/>
        <v>0.46066581216127328</v>
      </c>
      <c r="S543">
        <v>38</v>
      </c>
      <c r="T543" s="9">
        <f t="shared" si="34"/>
        <v>-2.1543077711580185</v>
      </c>
    </row>
    <row r="544" spans="1:20" x14ac:dyDescent="0.25">
      <c r="A544">
        <v>543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>
        <v>1</v>
      </c>
      <c r="K544" t="str">
        <f xml:space="preserve"> IF(COUNTIF($D$2:$D1312,D544)&gt;1,"duplicated","original")</f>
        <v>duplicated</v>
      </c>
      <c r="L544" s="2">
        <f>COUNTIF($D$2:$D544,D544)</f>
        <v>6</v>
      </c>
      <c r="M544" t="str">
        <f xml:space="preserve"> IF(COUNTIF($I$2:$I1312,I544)&gt;1,"duplicated","original")</f>
        <v>duplicated</v>
      </c>
      <c r="N544" s="2">
        <f>COUNTIF($I$2:$I544,I544)</f>
        <v>2</v>
      </c>
      <c r="O544" s="8">
        <f t="shared" si="32"/>
        <v>3.9980489389945659</v>
      </c>
      <c r="P544" s="8">
        <f t="shared" si="33"/>
        <v>4.7723194056719347</v>
      </c>
      <c r="Q544">
        <v>78</v>
      </c>
      <c r="R544" s="9">
        <f t="shared" si="35"/>
        <v>0.46066581216127328</v>
      </c>
      <c r="S544">
        <v>38</v>
      </c>
      <c r="T544" s="9">
        <f t="shared" si="34"/>
        <v>-0.6673620080941074</v>
      </c>
    </row>
    <row r="545" spans="1:20" x14ac:dyDescent="0.25">
      <c r="A545">
        <v>544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>
        <v>0</v>
      </c>
      <c r="K545" t="str">
        <f xml:space="preserve"> IF(COUNTIF($D$2:$D1313,D545)&gt;1,"duplicated","original")</f>
        <v>duplicated</v>
      </c>
      <c r="L545" s="2">
        <f>COUNTIF($D$2:$D545,D545)</f>
        <v>18</v>
      </c>
      <c r="M545" t="str">
        <f xml:space="preserve"> IF(COUNTIF($I$2:$I1313,I545)&gt;1,"duplicated","original")</f>
        <v>duplicated</v>
      </c>
      <c r="N545" s="2">
        <f>COUNTIF($I$2:$I545,I545)</f>
        <v>36</v>
      </c>
      <c r="O545" s="8">
        <f t="shared" si="32"/>
        <v>4.5808727682173815</v>
      </c>
      <c r="P545" s="8">
        <f t="shared" si="33"/>
        <v>2.8679204121186967</v>
      </c>
      <c r="Q545">
        <v>78</v>
      </c>
      <c r="R545" s="9">
        <f t="shared" si="35"/>
        <v>0.46066581216127328</v>
      </c>
      <c r="S545">
        <v>38</v>
      </c>
      <c r="T545" s="9">
        <f t="shared" si="34"/>
        <v>-2.2568557548175985</v>
      </c>
    </row>
    <row r="546" spans="1:20" x14ac:dyDescent="0.25">
      <c r="A546">
        <v>545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>
        <v>0</v>
      </c>
      <c r="K546" t="str">
        <f xml:space="preserve"> IF(COUNTIF($D$2:$D1300,$D$3)&gt;1,"duplicated","original")</f>
        <v>duplicated</v>
      </c>
      <c r="L546" s="2">
        <f>COUNTIF($D$2:$D546,D546)</f>
        <v>29</v>
      </c>
      <c r="M546" t="str">
        <f xml:space="preserve"> IF(COUNTIF($I$2:$I1314,I546)&gt;1,"duplicated","original")</f>
        <v>duplicated</v>
      </c>
      <c r="N546" s="2">
        <f>COUNTIF($I$2:$I546,I546)</f>
        <v>26</v>
      </c>
      <c r="O546" s="8">
        <f t="shared" si="32"/>
        <v>2.9973980914445737</v>
      </c>
      <c r="P546" s="8">
        <f t="shared" si="33"/>
        <v>2.0554725710276638</v>
      </c>
      <c r="Q546">
        <v>78</v>
      </c>
      <c r="R546" s="9">
        <f t="shared" si="35"/>
        <v>0.46066581216127328</v>
      </c>
      <c r="S546">
        <v>38</v>
      </c>
      <c r="T546" s="9">
        <f t="shared" si="34"/>
        <v>-2.0517597874984381</v>
      </c>
    </row>
    <row r="547" spans="1:20" x14ac:dyDescent="0.25">
      <c r="A547">
        <v>546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>
        <v>1</v>
      </c>
      <c r="K547" t="str">
        <f xml:space="preserve"> IF(COUNTIF($D$2:$D1315,D547)&gt;1,"duplicated","original")</f>
        <v>duplicated</v>
      </c>
      <c r="L547" s="2">
        <f>COUNTIF($D$2:$D547,D547)</f>
        <v>19</v>
      </c>
      <c r="M547" t="str">
        <f xml:space="preserve"> IF(COUNTIF($I$2:$I1301,I547)&gt;1,"duplicated","original")</f>
        <v>duplicated</v>
      </c>
      <c r="N547" s="2">
        <f>COUNTIF($I$2:$I547,I547)</f>
        <v>15</v>
      </c>
      <c r="O547" s="8">
        <f t="shared" si="32"/>
        <v>4.5808727682173815</v>
      </c>
      <c r="P547" s="8">
        <f t="shared" si="33"/>
        <v>1.9429442888958308</v>
      </c>
      <c r="Q547">
        <v>78</v>
      </c>
      <c r="R547" s="9">
        <f t="shared" si="35"/>
        <v>0.46066581216127328</v>
      </c>
      <c r="S547">
        <v>38</v>
      </c>
      <c r="T547" s="9">
        <f t="shared" si="34"/>
        <v>-1.6415678528601181</v>
      </c>
    </row>
    <row r="548" spans="1:20" x14ac:dyDescent="0.25">
      <c r="A548">
        <v>547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>
        <v>1</v>
      </c>
      <c r="K548" t="str">
        <f xml:space="preserve"> IF(COUNTIF($D$2:$D1316,D548)&gt;1,"duplicated","original")</f>
        <v>duplicated</v>
      </c>
      <c r="L548" s="2">
        <f>COUNTIF($D$2:$D548,D548)</f>
        <v>24</v>
      </c>
      <c r="M548" t="str">
        <f xml:space="preserve"> IF(COUNTIF($I$2:$I1316,I548)&gt;1,"duplicated","original")</f>
        <v>duplicated</v>
      </c>
      <c r="N548" s="2">
        <f>COUNTIF($I$2:$I548,I548)</f>
        <v>3</v>
      </c>
      <c r="O548" s="8">
        <f t="shared" si="32"/>
        <v>2.642800658126824</v>
      </c>
      <c r="P548" s="8">
        <f t="shared" si="33"/>
        <v>4.4469126941905355</v>
      </c>
      <c r="Q548">
        <v>78</v>
      </c>
      <c r="R548" s="9">
        <f t="shared" si="35"/>
        <v>0.46066581216127328</v>
      </c>
      <c r="S548">
        <v>38</v>
      </c>
      <c r="T548" s="9">
        <f t="shared" si="34"/>
        <v>-0.82118398358347755</v>
      </c>
    </row>
    <row r="549" spans="1:20" x14ac:dyDescent="0.25">
      <c r="A549">
        <v>548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>
        <v>0</v>
      </c>
      <c r="K549" t="str">
        <f xml:space="preserve"> IF(COUNTIF($D$2:$D1303,$D$3)&gt;1,"duplicated","original")</f>
        <v>duplicated</v>
      </c>
      <c r="L549" s="2">
        <f>COUNTIF($D$2:$D549,D549)</f>
        <v>37</v>
      </c>
      <c r="M549" t="str">
        <f xml:space="preserve"> IF(COUNTIF($I$2:$I1317,I549)&gt;1,"duplicated","original")</f>
        <v>duplicated</v>
      </c>
      <c r="N549" s="2">
        <f>COUNTIF($I$2:$I549,I549)</f>
        <v>24</v>
      </c>
      <c r="O549" s="8">
        <f t="shared" si="32"/>
        <v>1.0077721376404618</v>
      </c>
      <c r="P549" s="8">
        <f t="shared" si="33"/>
        <v>2.2858187789601945</v>
      </c>
      <c r="Q549">
        <v>78</v>
      </c>
      <c r="R549" s="9">
        <f t="shared" si="35"/>
        <v>0.46066581216127328</v>
      </c>
      <c r="S549">
        <v>38</v>
      </c>
      <c r="T549" s="9">
        <f t="shared" si="34"/>
        <v>-2.1030337793282281</v>
      </c>
    </row>
    <row r="550" spans="1:20" x14ac:dyDescent="0.25">
      <c r="A550">
        <v>549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>
        <v>0</v>
      </c>
      <c r="K550" t="str">
        <f xml:space="preserve"> IF(COUNTIF($D$2:$D1318,D550)&gt;1,"duplicated","original")</f>
        <v>duplicated</v>
      </c>
      <c r="L550" s="2">
        <f>COUNTIF($D$2:$D550,D550)</f>
        <v>21</v>
      </c>
      <c r="M550" t="str">
        <f xml:space="preserve"> IF(COUNTIF($I$2:$I1318,I550)&gt;1,"duplicated","original")</f>
        <v>duplicated</v>
      </c>
      <c r="N550" s="2">
        <f>COUNTIF($I$2:$I550,I550)</f>
        <v>4</v>
      </c>
      <c r="O550" s="8">
        <f t="shared" si="32"/>
        <v>3.6033866457258754</v>
      </c>
      <c r="P550" s="8">
        <f t="shared" si="33"/>
        <v>4.095733451990367</v>
      </c>
      <c r="Q550">
        <v>78</v>
      </c>
      <c r="R550" s="9">
        <f t="shared" si="35"/>
        <v>0.46066581216127328</v>
      </c>
      <c r="S550">
        <v>38</v>
      </c>
      <c r="T550" s="9">
        <f t="shared" si="34"/>
        <v>-0.97500595907284759</v>
      </c>
    </row>
    <row r="551" spans="1:20" x14ac:dyDescent="0.25">
      <c r="A551">
        <v>550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>
        <v>0</v>
      </c>
      <c r="K551" t="str">
        <f xml:space="preserve"> IF(COUNTIF($D$2:$D1319,D551)&gt;1,"duplicated","original")</f>
        <v>duplicated</v>
      </c>
      <c r="L551" s="2">
        <f>COUNTIF($D$2:$D551,D551)</f>
        <v>3</v>
      </c>
      <c r="M551" t="str">
        <f xml:space="preserve"> IF(COUNTIF($I$2:$I1305,I551)&gt;1,"duplicated","original")</f>
        <v>duplicated</v>
      </c>
      <c r="N551" s="2">
        <f>COUNTIF($I$2:$I551,I551)</f>
        <v>16</v>
      </c>
      <c r="O551" s="8">
        <f t="shared" si="32"/>
        <v>6.4019056005689094</v>
      </c>
      <c r="P551" s="8">
        <f t="shared" si="33"/>
        <v>1.9429442888958308</v>
      </c>
      <c r="Q551">
        <v>78</v>
      </c>
      <c r="R551" s="9">
        <f t="shared" si="35"/>
        <v>0.46066581216127328</v>
      </c>
      <c r="S551">
        <v>38</v>
      </c>
      <c r="T551" s="9">
        <f t="shared" si="34"/>
        <v>-1.6415678528601181</v>
      </c>
    </row>
    <row r="552" spans="1:20" x14ac:dyDescent="0.25">
      <c r="A552">
        <v>551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>
        <v>0</v>
      </c>
      <c r="K552" t="str">
        <f xml:space="preserve"> IF(COUNTIF($D$2:$D1306,$D$3)&gt;1,"duplicated","original")</f>
        <v>duplicated</v>
      </c>
      <c r="L552" s="2">
        <f>COUNTIF($D$2:$D552,D552)</f>
        <v>42</v>
      </c>
      <c r="M552" t="str">
        <f xml:space="preserve"> IF(COUNTIF($I$2:$I1320,I552)&gt;1,"duplicated","original")</f>
        <v>duplicated</v>
      </c>
      <c r="N552" s="2">
        <f>COUNTIF($I$2:$I552,I552)</f>
        <v>47</v>
      </c>
      <c r="O552" s="8">
        <f t="shared" si="32"/>
        <v>0.99216698120607405</v>
      </c>
      <c r="P552" s="8">
        <f t="shared" si="33"/>
        <v>3.4964220984096119</v>
      </c>
      <c r="Q552">
        <v>78</v>
      </c>
      <c r="R552" s="9">
        <f t="shared" si="35"/>
        <v>0.46066581216127328</v>
      </c>
      <c r="S552">
        <v>39</v>
      </c>
      <c r="T552" s="9">
        <f t="shared" si="34"/>
        <v>-2.4619517221367584</v>
      </c>
    </row>
    <row r="553" spans="1:20" x14ac:dyDescent="0.25">
      <c r="A553">
        <v>552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>
        <v>0</v>
      </c>
      <c r="K553" t="str">
        <f xml:space="preserve"> IF(COUNTIF($D$2:$D1321,D553)&gt;1,"duplicated","original")</f>
        <v>duplicated</v>
      </c>
      <c r="L553" s="2">
        <f>COUNTIF($D$2:$D553,D553)</f>
        <v>38</v>
      </c>
      <c r="M553" t="str">
        <f xml:space="preserve"> IF(COUNTIF($I$2:$I1321,I553)&gt;1,"duplicated","original")</f>
        <v>duplicated</v>
      </c>
      <c r="N553" s="2">
        <f>COUNTIF($I$2:$I553,I553)</f>
        <v>37</v>
      </c>
      <c r="O553" s="8">
        <f t="shared" si="32"/>
        <v>1.0077721376404618</v>
      </c>
      <c r="P553" s="8">
        <f t="shared" si="33"/>
        <v>2.8679204121186967</v>
      </c>
      <c r="Q553">
        <v>78</v>
      </c>
      <c r="R553" s="9">
        <f t="shared" si="35"/>
        <v>0.46066581216127328</v>
      </c>
      <c r="S553">
        <v>39</v>
      </c>
      <c r="T553" s="9">
        <f t="shared" si="34"/>
        <v>-2.2568557548175985</v>
      </c>
    </row>
    <row r="554" spans="1:20" x14ac:dyDescent="0.25">
      <c r="A554">
        <v>553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>
        <v>0</v>
      </c>
      <c r="K554" t="str">
        <f xml:space="preserve"> IF(COUNTIF($D$2:$D1322,D554)&gt;1,"duplicated","original")</f>
        <v>duplicated</v>
      </c>
      <c r="L554" s="2">
        <f>COUNTIF($D$2:$D554,D554)</f>
        <v>15</v>
      </c>
      <c r="M554" t="str">
        <f xml:space="preserve"> IF(COUNTIF($I$2:$I1322,I554)&gt;1,"duplicated","original")</f>
        <v>duplicated</v>
      </c>
      <c r="N554" s="2">
        <f>COUNTIF($I$2:$I554,I554)</f>
        <v>3</v>
      </c>
      <c r="O554" s="8">
        <f t="shared" si="32"/>
        <v>4.3571085961444176</v>
      </c>
      <c r="P554" s="8">
        <f t="shared" si="33"/>
        <v>5.7249482538930367</v>
      </c>
      <c r="Q554">
        <v>78</v>
      </c>
      <c r="R554" s="9">
        <f t="shared" si="35"/>
        <v>0.46066581216127328</v>
      </c>
      <c r="S554">
        <v>39</v>
      </c>
      <c r="T554" s="9">
        <f t="shared" si="34"/>
        <v>-0.15462208979620712</v>
      </c>
    </row>
    <row r="555" spans="1:20" x14ac:dyDescent="0.25">
      <c r="A555">
        <v>554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>
        <v>0</v>
      </c>
      <c r="K555" t="str">
        <f xml:space="preserve"> IF(COUNTIF($D$2:$D1309,$D$3)&gt;1,"duplicated","original")</f>
        <v>duplicated</v>
      </c>
      <c r="L555" s="2">
        <f>COUNTIF($D$2:$D555,D555)</f>
        <v>25</v>
      </c>
      <c r="M555" t="str">
        <f xml:space="preserve"> IF(COUNTIF($I$2:$I1309,I555)&gt;1,"duplicated","original")</f>
        <v>duplicated</v>
      </c>
      <c r="N555" s="2">
        <f>COUNTIF($I$2:$I555,I555)</f>
        <v>26</v>
      </c>
      <c r="O555" s="8">
        <f t="shared" si="32"/>
        <v>2.648698676974115</v>
      </c>
      <c r="P555" s="8">
        <f t="shared" si="33"/>
        <v>3.1976503076864229</v>
      </c>
      <c r="Q555">
        <v>78</v>
      </c>
      <c r="R555" s="9">
        <f t="shared" si="35"/>
        <v>0.46066581216127328</v>
      </c>
      <c r="S555">
        <v>39</v>
      </c>
      <c r="T555" s="9">
        <f t="shared" si="34"/>
        <v>-2.3594037384771784</v>
      </c>
    </row>
    <row r="556" spans="1:20" x14ac:dyDescent="0.25">
      <c r="A556">
        <v>555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>
        <v>0</v>
      </c>
      <c r="K556" t="str">
        <f xml:space="preserve"> IF(COUNTIF($D$2:$D1324,D556)&gt;1,"duplicated","original")</f>
        <v>duplicated</v>
      </c>
      <c r="L556" s="2">
        <f>COUNTIF($D$2:$D556,D556)</f>
        <v>37</v>
      </c>
      <c r="M556" t="str">
        <f xml:space="preserve"> IF(COUNTIF($I$2:$I1324,I556)&gt;1,"duplicated","original")</f>
        <v>duplicated</v>
      </c>
      <c r="N556" s="2">
        <f>COUNTIF($I$2:$I556,I556)</f>
        <v>25</v>
      </c>
      <c r="O556" s="8">
        <f t="shared" si="32"/>
        <v>2.2395545720978594</v>
      </c>
      <c r="P556" s="8">
        <f t="shared" si="33"/>
        <v>2.2858187789601945</v>
      </c>
      <c r="Q556">
        <v>78</v>
      </c>
      <c r="R556" s="9">
        <f t="shared" si="35"/>
        <v>0.46066581216127328</v>
      </c>
      <c r="S556">
        <v>39</v>
      </c>
      <c r="T556" s="9">
        <f t="shared" si="34"/>
        <v>-2.1030337793282281</v>
      </c>
    </row>
    <row r="557" spans="1:20" x14ac:dyDescent="0.25">
      <c r="A557">
        <v>556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>
        <v>0</v>
      </c>
      <c r="K557" t="str">
        <f xml:space="preserve"> IF(COUNTIF($D$2:$D1325,D557)&gt;1,"duplicated","original")</f>
        <v>duplicated</v>
      </c>
      <c r="L557" s="2">
        <f>COUNTIF($D$2:$D557,D557)</f>
        <v>43</v>
      </c>
      <c r="M557" t="str">
        <f xml:space="preserve"> IF(COUNTIF($I$2:$I1325,I557)&gt;1,"duplicated","original")</f>
        <v>duplicated</v>
      </c>
      <c r="N557" s="2">
        <f>COUNTIF($I$2:$I557,I557)</f>
        <v>17</v>
      </c>
      <c r="O557" s="8">
        <f t="shared" si="32"/>
        <v>0.99216698120607405</v>
      </c>
      <c r="P557" s="8">
        <f t="shared" si="33"/>
        <v>1.9429442888958308</v>
      </c>
      <c r="Q557">
        <v>78</v>
      </c>
      <c r="R557" s="9">
        <f t="shared" si="35"/>
        <v>0.46066581216127328</v>
      </c>
      <c r="S557">
        <v>39</v>
      </c>
      <c r="T557" s="9">
        <f t="shared" si="34"/>
        <v>-1.6415678528601181</v>
      </c>
    </row>
    <row r="558" spans="1:20" x14ac:dyDescent="0.25">
      <c r="A558">
        <v>557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>
        <v>0</v>
      </c>
      <c r="K558" t="str">
        <f xml:space="preserve"> IF(COUNTIF($D$2:$D1312,$D$3)&gt;1,"duplicated","original")</f>
        <v>duplicated</v>
      </c>
      <c r="L558" s="2">
        <f>COUNTIF($D$2:$D558,D558)</f>
        <v>44</v>
      </c>
      <c r="M558" t="str">
        <f xml:space="preserve"> IF(COUNTIF($I$2:$I1326,I558)&gt;1,"duplicated","original")</f>
        <v>duplicated</v>
      </c>
      <c r="N558" s="2">
        <f>COUNTIF($I$2:$I558,I558)</f>
        <v>16</v>
      </c>
      <c r="O558" s="8">
        <f t="shared" si="32"/>
        <v>0.99216698120607405</v>
      </c>
      <c r="P558" s="8">
        <f t="shared" si="33"/>
        <v>1.7958194481202931</v>
      </c>
      <c r="Q558">
        <v>78</v>
      </c>
      <c r="R558" s="9">
        <f t="shared" si="35"/>
        <v>0.46066581216127328</v>
      </c>
      <c r="S558">
        <v>39</v>
      </c>
      <c r="T558" s="9">
        <f t="shared" si="34"/>
        <v>-2.0004857956686481</v>
      </c>
    </row>
    <row r="559" spans="1:20" x14ac:dyDescent="0.25">
      <c r="A559">
        <v>558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>
        <v>0</v>
      </c>
      <c r="K559" t="str">
        <f xml:space="preserve"> IF(COUNTIF($D$2:$D1327,D559)&gt;1,"duplicated","original")</f>
        <v>duplicated</v>
      </c>
      <c r="L559" s="2">
        <f>COUNTIF($D$2:$D559,D559)</f>
        <v>25</v>
      </c>
      <c r="M559" t="str">
        <f xml:space="preserve"> IF(COUNTIF($I$2:$I1313,I559)&gt;1,"duplicated","original")</f>
        <v>duplicated</v>
      </c>
      <c r="N559" s="2">
        <f>COUNTIF($I$2:$I559,I559)</f>
        <v>7</v>
      </c>
      <c r="O559" s="8">
        <f t="shared" si="32"/>
        <v>2.642800658126824</v>
      </c>
      <c r="P559" s="8">
        <f t="shared" si="33"/>
        <v>4.9774524116010319</v>
      </c>
      <c r="Q559">
        <v>78</v>
      </c>
      <c r="R559" s="9">
        <f t="shared" si="35"/>
        <v>0.46066581216127328</v>
      </c>
      <c r="S559">
        <v>39</v>
      </c>
      <c r="T559" s="9">
        <f t="shared" si="34"/>
        <v>-0.56481402443452733</v>
      </c>
    </row>
    <row r="560" spans="1:20" x14ac:dyDescent="0.25">
      <c r="A560">
        <v>559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>
        <v>0</v>
      </c>
      <c r="K560" t="str">
        <f xml:space="preserve"> IF(COUNTIF($D$2:$D1328,D560)&gt;1,"duplicated","original")</f>
        <v>duplicated</v>
      </c>
      <c r="L560" s="2">
        <f>COUNTIF($D$2:$D560,D560)</f>
        <v>39</v>
      </c>
      <c r="M560" t="str">
        <f xml:space="preserve"> IF(COUNTIF($I$2:$I1328,I560)&gt;1,"duplicated","original")</f>
        <v>duplicated</v>
      </c>
      <c r="N560" s="2">
        <f>COUNTIF($I$2:$I560,I560)</f>
        <v>12</v>
      </c>
      <c r="O560" s="8">
        <f t="shared" si="32"/>
        <v>1.0077721376404618</v>
      </c>
      <c r="P560" s="8">
        <f t="shared" si="33"/>
        <v>2.9622681360324097</v>
      </c>
      <c r="Q560">
        <v>78</v>
      </c>
      <c r="R560" s="9">
        <f t="shared" si="35"/>
        <v>0.46066581216127328</v>
      </c>
      <c r="S560">
        <v>39</v>
      </c>
      <c r="T560" s="9">
        <f t="shared" si="34"/>
        <v>-1.385197893711168</v>
      </c>
    </row>
    <row r="561" spans="1:20" x14ac:dyDescent="0.25">
      <c r="A561">
        <v>560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>
        <v>0</v>
      </c>
      <c r="K561" t="str">
        <f xml:space="preserve"> IF(COUNTIF($D$2:$D1315,$D$3)&gt;1,"duplicated","original")</f>
        <v>duplicated</v>
      </c>
      <c r="L561" s="2">
        <f>COUNTIF($D$2:$D561,D561)</f>
        <v>37</v>
      </c>
      <c r="M561" t="str">
        <f xml:space="preserve"> IF(COUNTIF($I$2:$I1329,I561)&gt;1,"duplicated","original")</f>
        <v>duplicated</v>
      </c>
      <c r="N561" s="2">
        <f>COUNTIF($I$2:$I561,I561)</f>
        <v>9</v>
      </c>
      <c r="O561" s="8">
        <f t="shared" si="32"/>
        <v>2.2325759379236296</v>
      </c>
      <c r="P561" s="8">
        <f t="shared" si="33"/>
        <v>1.332303460084423</v>
      </c>
      <c r="Q561">
        <v>78</v>
      </c>
      <c r="R561" s="9">
        <f t="shared" si="35"/>
        <v>0.46066581216127328</v>
      </c>
      <c r="S561">
        <v>39</v>
      </c>
      <c r="T561" s="9">
        <f t="shared" si="34"/>
        <v>-1.744115836519698</v>
      </c>
    </row>
    <row r="562" spans="1:20" x14ac:dyDescent="0.25">
      <c r="A562">
        <v>561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>
        <v>1</v>
      </c>
      <c r="K562" t="str">
        <f xml:space="preserve"> IF(COUNTIF($D$2:$D1330,D562)&gt;1,"duplicated","original")</f>
        <v>duplicated</v>
      </c>
      <c r="L562" s="2">
        <f>COUNTIF($D$2:$D562,D562)</f>
        <v>26</v>
      </c>
      <c r="M562" t="str">
        <f xml:space="preserve"> IF(COUNTIF($I$2:$I1330,I562)&gt;1,"duplicated","original")</f>
        <v>duplicated</v>
      </c>
      <c r="N562" s="2">
        <f>COUNTIF($I$2:$I562,I562)</f>
        <v>4</v>
      </c>
      <c r="O562" s="8">
        <f t="shared" si="32"/>
        <v>2.642800658126824</v>
      </c>
      <c r="P562" s="8">
        <f t="shared" si="33"/>
        <v>4.5579636362912028</v>
      </c>
      <c r="Q562">
        <v>78</v>
      </c>
      <c r="R562" s="9">
        <f t="shared" si="35"/>
        <v>0.46066581216127328</v>
      </c>
      <c r="S562">
        <v>39</v>
      </c>
      <c r="T562" s="9">
        <f t="shared" si="34"/>
        <v>-0.76990999175368746</v>
      </c>
    </row>
    <row r="563" spans="1:20" x14ac:dyDescent="0.25">
      <c r="A563">
        <v>562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>
        <v>1</v>
      </c>
      <c r="K563" t="str">
        <f xml:space="preserve"> IF(COUNTIF($D$2:$D1331,D563)&gt;1,"duplicated","original")</f>
        <v>duplicated</v>
      </c>
      <c r="L563" s="2">
        <f>COUNTIF($D$2:$D563,D563)</f>
        <v>26</v>
      </c>
      <c r="M563" t="str">
        <f xml:space="preserve"> IF(COUNTIF($I$2:$I1317,I563)&gt;1,"duplicated","original")</f>
        <v>duplicated</v>
      </c>
      <c r="N563" s="2">
        <f>COUNTIF($I$2:$I563,I563)</f>
        <v>26</v>
      </c>
      <c r="O563" s="8">
        <f t="shared" si="32"/>
        <v>1.7365496484133203</v>
      </c>
      <c r="P563" s="8">
        <f t="shared" si="33"/>
        <v>2.2858187789601945</v>
      </c>
      <c r="Q563">
        <v>78</v>
      </c>
      <c r="R563" s="9">
        <f t="shared" si="35"/>
        <v>0.46066581216127328</v>
      </c>
      <c r="S563">
        <v>39</v>
      </c>
      <c r="T563" s="9">
        <f t="shared" si="34"/>
        <v>-2.1030337793282281</v>
      </c>
    </row>
    <row r="564" spans="1:20" x14ac:dyDescent="0.25">
      <c r="A564">
        <v>563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>
        <v>0</v>
      </c>
      <c r="K564" t="str">
        <f xml:space="preserve"> IF(COUNTIF($D$2:$D1318,$D$3)&gt;1,"duplicated","original")</f>
        <v>duplicated</v>
      </c>
      <c r="L564" s="2">
        <f>COUNTIF($D$2:$D564,D564)</f>
        <v>40</v>
      </c>
      <c r="M564" t="str">
        <f xml:space="preserve"> IF(COUNTIF($I$2:$I1332,I564)&gt;1,"duplicated","original")</f>
        <v>duplicated</v>
      </c>
      <c r="N564" s="2">
        <f>COUNTIF($I$2:$I564,I564)</f>
        <v>36</v>
      </c>
      <c r="O564" s="8">
        <f t="shared" si="32"/>
        <v>1.0077721376404618</v>
      </c>
      <c r="P564" s="8">
        <f t="shared" si="33"/>
        <v>3.0372631578852487</v>
      </c>
      <c r="Q564">
        <v>78</v>
      </c>
      <c r="R564" s="9">
        <f t="shared" si="35"/>
        <v>0.46066581216127328</v>
      </c>
      <c r="S564">
        <v>40</v>
      </c>
      <c r="T564" s="9">
        <f t="shared" si="34"/>
        <v>-2.3081297466473885</v>
      </c>
    </row>
    <row r="565" spans="1:20" x14ac:dyDescent="0.25">
      <c r="A565">
        <v>564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>
        <v>0</v>
      </c>
      <c r="K565" t="str">
        <f xml:space="preserve"> IF(COUNTIF($D$2:$D1333,D565)&gt;1,"duplicated","original")</f>
        <v>duplicated</v>
      </c>
      <c r="L565" s="2">
        <f>COUNTIF($D$2:$D565,D565)</f>
        <v>24</v>
      </c>
      <c r="M565" t="str">
        <f xml:space="preserve"> IF(COUNTIF($I$2:$I1333,I565)&gt;1,"duplicated","original")</f>
        <v>duplicated</v>
      </c>
      <c r="N565" s="2">
        <f>COUNTIF($I$2:$I565,I565)</f>
        <v>13</v>
      </c>
      <c r="O565" s="8">
        <f t="shared" si="32"/>
        <v>3.002599653867366</v>
      </c>
      <c r="P565" s="8">
        <f t="shared" si="33"/>
        <v>1.1067824945521474</v>
      </c>
      <c r="Q565">
        <v>78</v>
      </c>
      <c r="R565" s="9">
        <f t="shared" si="35"/>
        <v>0.46066581216127328</v>
      </c>
      <c r="S565">
        <v>40</v>
      </c>
      <c r="T565" s="9">
        <f t="shared" si="34"/>
        <v>-1.8979378120090682</v>
      </c>
    </row>
    <row r="566" spans="1:20" x14ac:dyDescent="0.25">
      <c r="A566">
        <v>565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>
        <v>0</v>
      </c>
      <c r="K566" t="str">
        <f xml:space="preserve"> IF(COUNTIF($D$2:$D1334,D566)&gt;1,"duplicated","original")</f>
        <v>duplicated</v>
      </c>
      <c r="L566" s="2">
        <f>COUNTIF($D$2:$D566,D566)</f>
        <v>28</v>
      </c>
      <c r="M566" t="str">
        <f xml:space="preserve"> IF(COUNTIF($I$2:$I1334,I566)&gt;1,"duplicated","original")</f>
        <v>duplicated</v>
      </c>
      <c r="N566" s="2">
        <f>COUNTIF($I$2:$I566,I566)</f>
        <v>20</v>
      </c>
      <c r="O566" s="8">
        <f t="shared" si="32"/>
        <v>3.3142714612106796</v>
      </c>
      <c r="P566" s="8">
        <f t="shared" si="33"/>
        <v>2.4949884749727951</v>
      </c>
      <c r="Q566">
        <v>80</v>
      </c>
      <c r="R566" s="9">
        <f t="shared" si="35"/>
        <v>0.56321379582085329</v>
      </c>
      <c r="S566">
        <v>40</v>
      </c>
      <c r="T566" s="9">
        <f t="shared" si="34"/>
        <v>-2.1543077711580185</v>
      </c>
    </row>
    <row r="567" spans="1:20" x14ac:dyDescent="0.25">
      <c r="A567">
        <v>566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>
        <v>0</v>
      </c>
      <c r="K567" t="str">
        <f xml:space="preserve"> IF(COUNTIF($D$2:$D1321,$D$3)&gt;1,"duplicated","original")</f>
        <v>duplicated</v>
      </c>
      <c r="L567" s="2">
        <f>COUNTIF($D$2:$D567,D567)</f>
        <v>8</v>
      </c>
      <c r="M567" t="str">
        <f xml:space="preserve"> IF(COUNTIF($I$2:$I1321,I567)&gt;1,"duplicated","original")</f>
        <v>duplicated</v>
      </c>
      <c r="N567" s="2">
        <f>COUNTIF($I$2:$I567,I567)</f>
        <v>48</v>
      </c>
      <c r="O567" s="8">
        <f t="shared" si="32"/>
        <v>3.8749973782448452</v>
      </c>
      <c r="P567" s="8">
        <f t="shared" si="33"/>
        <v>3.3503682618851132</v>
      </c>
      <c r="Q567">
        <v>80</v>
      </c>
      <c r="R567" s="9">
        <f t="shared" si="35"/>
        <v>0.56321379582085329</v>
      </c>
      <c r="S567">
        <v>40</v>
      </c>
      <c r="T567" s="9">
        <f t="shared" si="34"/>
        <v>-2.4106777303069684</v>
      </c>
    </row>
    <row r="568" spans="1:20" x14ac:dyDescent="0.25">
      <c r="A568">
        <v>567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>
        <v>0</v>
      </c>
      <c r="K568" t="str">
        <f xml:space="preserve"> IF(COUNTIF($D$2:$D1336,D568)&gt;1,"duplicated","original")</f>
        <v>duplicated</v>
      </c>
      <c r="L568" s="2">
        <f>COUNTIF($D$2:$D568,D568)</f>
        <v>35</v>
      </c>
      <c r="M568" t="str">
        <f xml:space="preserve"> IF(COUNTIF($I$2:$I1336,I568)&gt;1,"duplicated","original")</f>
        <v>duplicated</v>
      </c>
      <c r="N568" s="2">
        <f>COUNTIF($I$2:$I568,I568)</f>
        <v>48</v>
      </c>
      <c r="O568" s="8">
        <f t="shared" si="32"/>
        <v>1.7275402509335562</v>
      </c>
      <c r="P568" s="8">
        <f t="shared" si="33"/>
        <v>3.4964220984096119</v>
      </c>
      <c r="Q568">
        <v>80</v>
      </c>
      <c r="R568" s="9">
        <f t="shared" si="35"/>
        <v>0.56321379582085329</v>
      </c>
      <c r="S568">
        <v>40</v>
      </c>
      <c r="T568" s="9">
        <f t="shared" si="34"/>
        <v>-2.4619517221367584</v>
      </c>
    </row>
    <row r="569" spans="1:20" x14ac:dyDescent="0.25">
      <c r="A569">
        <v>568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>
        <v>0</v>
      </c>
      <c r="K569" t="str">
        <f xml:space="preserve"> IF(COUNTIF($D$2:$D1337,D569)&gt;1,"duplicated","original")</f>
        <v>duplicated</v>
      </c>
      <c r="L569" s="2">
        <f>COUNTIF($D$2:$D569,D569)</f>
        <v>26</v>
      </c>
      <c r="M569" t="str">
        <f xml:space="preserve"> IF(COUNTIF($I$2:$I1337,I569)&gt;1,"duplicated","original")</f>
        <v>duplicated</v>
      </c>
      <c r="N569" s="2">
        <f>COUNTIF($I$2:$I569,I569)</f>
        <v>10</v>
      </c>
      <c r="O569" s="8">
        <f t="shared" si="32"/>
        <v>2.648698676974115</v>
      </c>
      <c r="P569" s="8">
        <f t="shared" si="33"/>
        <v>3.5742177479489028</v>
      </c>
      <c r="Q569">
        <v>80</v>
      </c>
      <c r="R569" s="9">
        <f t="shared" si="35"/>
        <v>0.56321379582085329</v>
      </c>
      <c r="S569">
        <v>40</v>
      </c>
      <c r="T569" s="9">
        <f t="shared" si="34"/>
        <v>-1.1801019263920078</v>
      </c>
    </row>
    <row r="570" spans="1:20" x14ac:dyDescent="0.25">
      <c r="A570">
        <v>569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>
        <v>0</v>
      </c>
      <c r="K570" t="str">
        <f xml:space="preserve"> IF(COUNTIF($D$2:$D1324,$D$3)&gt;1,"duplicated","original")</f>
        <v>duplicated</v>
      </c>
      <c r="L570" s="2">
        <f>COUNTIF($D$2:$D570,D570)</f>
        <v>36</v>
      </c>
      <c r="M570" t="str">
        <f xml:space="preserve"> IF(COUNTIF($I$2:$I1338,I570)&gt;1,"duplicated","original")</f>
        <v>duplicated</v>
      </c>
      <c r="N570" s="2">
        <f>COUNTIF($I$2:$I570,I570)</f>
        <v>18</v>
      </c>
      <c r="O570" s="8">
        <f t="shared" si="32"/>
        <v>1.7275402509335562</v>
      </c>
      <c r="P570" s="8">
        <f t="shared" si="33"/>
        <v>1.9429442888958308</v>
      </c>
      <c r="Q570">
        <v>80</v>
      </c>
      <c r="R570" s="9">
        <f t="shared" si="35"/>
        <v>0.56321379582085329</v>
      </c>
      <c r="S570">
        <v>40</v>
      </c>
      <c r="T570" s="9">
        <f t="shared" si="34"/>
        <v>-1.6415678528601181</v>
      </c>
    </row>
    <row r="571" spans="1:20" x14ac:dyDescent="0.25">
      <c r="A571">
        <v>570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>
        <v>1</v>
      </c>
      <c r="K571" t="str">
        <f xml:space="preserve"> IF(COUNTIF($D$2:$D1339,D571)&gt;1,"duplicated","original")</f>
        <v>duplicated</v>
      </c>
      <c r="L571" s="2">
        <f>COUNTIF($D$2:$D571,D571)</f>
        <v>27</v>
      </c>
      <c r="M571" t="str">
        <f xml:space="preserve"> IF(COUNTIF($I$2:$I1325,I571)&gt;1,"duplicated","original")</f>
        <v>duplicated</v>
      </c>
      <c r="N571" s="2">
        <f>COUNTIF($I$2:$I571,I571)</f>
        <v>15</v>
      </c>
      <c r="O571" s="8">
        <f t="shared" si="32"/>
        <v>1.7365496484133203</v>
      </c>
      <c r="P571" s="8">
        <f t="shared" si="33"/>
        <v>0.47430737949885876</v>
      </c>
      <c r="Q571">
        <v>80</v>
      </c>
      <c r="R571" s="9">
        <f t="shared" si="35"/>
        <v>0.56321379582085329</v>
      </c>
      <c r="S571">
        <v>40</v>
      </c>
      <c r="T571" s="9">
        <f t="shared" si="34"/>
        <v>-1.8466638201792782</v>
      </c>
    </row>
    <row r="572" spans="1:20" x14ac:dyDescent="0.25">
      <c r="A572">
        <v>571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>
        <v>0</v>
      </c>
      <c r="K572" t="str">
        <f xml:space="preserve"> IF(COUNTIF($D$2:$D1340,D572)&gt;1,"duplicated","original")</f>
        <v>duplicated</v>
      </c>
      <c r="L572" s="2">
        <f>COUNTIF($D$2:$D572,D572)</f>
        <v>45</v>
      </c>
      <c r="M572" t="str">
        <f xml:space="preserve"> IF(COUNTIF($I$2:$I1340,I572)&gt;1,"duplicated","original")</f>
        <v>duplicated</v>
      </c>
      <c r="N572" s="2">
        <f>COUNTIF($I$2:$I572,I572)</f>
        <v>10</v>
      </c>
      <c r="O572" s="8">
        <f t="shared" si="32"/>
        <v>0.99216698120607405</v>
      </c>
      <c r="P572" s="8">
        <f t="shared" si="33"/>
        <v>2.4031297321936087</v>
      </c>
      <c r="Q572">
        <v>80</v>
      </c>
      <c r="R572" s="9">
        <f t="shared" si="35"/>
        <v>0.56321379582085329</v>
      </c>
      <c r="S572">
        <v>40</v>
      </c>
      <c r="T572" s="9">
        <f t="shared" si="34"/>
        <v>-1.5390198692005379</v>
      </c>
    </row>
    <row r="573" spans="1:20" x14ac:dyDescent="0.25">
      <c r="A573">
        <v>572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>
        <v>0</v>
      </c>
      <c r="K573" t="str">
        <f xml:space="preserve"> IF(COUNTIF($D$2:$D1327,$D$3)&gt;1,"duplicated","original")</f>
        <v>duplicated</v>
      </c>
      <c r="L573" s="2">
        <f>COUNTIF($D$2:$D573,D573)</f>
        <v>3</v>
      </c>
      <c r="M573" t="str">
        <f xml:space="preserve"> IF(COUNTIF($I$2:$I1341,I573)&gt;1,"duplicated","original")</f>
        <v>duplicated</v>
      </c>
      <c r="N573" s="2">
        <f>COUNTIF($I$2:$I573,I573)</f>
        <v>49</v>
      </c>
      <c r="O573" s="8">
        <f t="shared" si="32"/>
        <v>5.194650644518414</v>
      </c>
      <c r="P573" s="8">
        <f t="shared" si="33"/>
        <v>3.4964220984096119</v>
      </c>
      <c r="Q573">
        <v>80</v>
      </c>
      <c r="R573" s="9">
        <f t="shared" si="35"/>
        <v>0.56321379582085329</v>
      </c>
      <c r="S573">
        <v>40</v>
      </c>
      <c r="T573" s="9">
        <f t="shared" si="34"/>
        <v>-2.4619517221367584</v>
      </c>
    </row>
    <row r="574" spans="1:20" x14ac:dyDescent="0.25">
      <c r="A574">
        <v>573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>
        <v>0</v>
      </c>
      <c r="K574" t="str">
        <f xml:space="preserve"> IF(COUNTIF($D$2:$D1342,D574)&gt;1,"duplicated","original")</f>
        <v>duplicated</v>
      </c>
      <c r="L574" s="2">
        <f>COUNTIF($D$2:$D574,D574)</f>
        <v>13</v>
      </c>
      <c r="M574" t="str">
        <f xml:space="preserve"> IF(COUNTIF($I$2:$I1342,I574)&gt;1,"duplicated","original")</f>
        <v>duplicated</v>
      </c>
      <c r="N574" s="2">
        <f>COUNTIF($I$2:$I574,I574)</f>
        <v>49</v>
      </c>
      <c r="O574" s="8">
        <f t="shared" si="32"/>
        <v>3.3189764508662045</v>
      </c>
      <c r="P574" s="8">
        <f t="shared" si="33"/>
        <v>3.3503682618851132</v>
      </c>
      <c r="Q574">
        <v>80</v>
      </c>
      <c r="R574" s="9">
        <f t="shared" si="35"/>
        <v>0.56321379582085329</v>
      </c>
      <c r="S574">
        <v>40</v>
      </c>
      <c r="T574" s="9">
        <f t="shared" si="34"/>
        <v>-2.4106777303069684</v>
      </c>
    </row>
    <row r="575" spans="1:20" x14ac:dyDescent="0.25">
      <c r="A575">
        <v>574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>
        <v>0</v>
      </c>
      <c r="K575" t="str">
        <f xml:space="preserve"> IF(COUNTIF($D$2:$D1343,D575)&gt;1,"duplicated","original")</f>
        <v>duplicated</v>
      </c>
      <c r="L575" s="2">
        <f>COUNTIF($D$2:$D575,D575)</f>
        <v>25</v>
      </c>
      <c r="M575" t="str">
        <f xml:space="preserve"> IF(COUNTIF($I$2:$I1329,I575)&gt;1,"duplicated","original")</f>
        <v>duplicated</v>
      </c>
      <c r="N575" s="2">
        <f>COUNTIF($I$2:$I575,I575)</f>
        <v>50</v>
      </c>
      <c r="O575" s="8">
        <f t="shared" si="32"/>
        <v>3.002599653867366</v>
      </c>
      <c r="P575" s="8">
        <f t="shared" si="33"/>
        <v>3.3503682618851132</v>
      </c>
      <c r="Q575">
        <v>80</v>
      </c>
      <c r="R575" s="9">
        <f t="shared" si="35"/>
        <v>0.56321379582085329</v>
      </c>
      <c r="S575">
        <v>40</v>
      </c>
      <c r="T575" s="9">
        <f t="shared" si="34"/>
        <v>-2.4106777303069684</v>
      </c>
    </row>
    <row r="576" spans="1:20" x14ac:dyDescent="0.25">
      <c r="A576">
        <v>575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>
        <v>0</v>
      </c>
      <c r="K576" t="str">
        <f xml:space="preserve"> IF(COUNTIF($D$2:$D1330,$D$3)&gt;1,"duplicated","original")</f>
        <v>duplicated</v>
      </c>
      <c r="L576" s="2">
        <f>COUNTIF($D$2:$D576,D576)</f>
        <v>13</v>
      </c>
      <c r="M576" t="str">
        <f xml:space="preserve"> IF(COUNTIF($I$2:$I1344,I576)&gt;1,"duplicated","original")</f>
        <v>duplicated</v>
      </c>
      <c r="N576" s="2">
        <f>COUNTIF($I$2:$I576,I576)</f>
        <v>27</v>
      </c>
      <c r="O576" s="8">
        <f t="shared" si="32"/>
        <v>4.121212845582666</v>
      </c>
      <c r="P576" s="8">
        <f t="shared" si="33"/>
        <v>3.1976503076864229</v>
      </c>
      <c r="Q576">
        <v>80</v>
      </c>
      <c r="R576" s="9">
        <f t="shared" si="35"/>
        <v>0.56321379582085329</v>
      </c>
      <c r="S576">
        <v>40</v>
      </c>
      <c r="T576" s="9">
        <f t="shared" si="34"/>
        <v>-2.3594037384771784</v>
      </c>
    </row>
    <row r="577" spans="1:20" x14ac:dyDescent="0.25">
      <c r="A577">
        <v>576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>
        <v>0</v>
      </c>
      <c r="K577" t="str">
        <f xml:space="preserve"> IF(COUNTIF($D$2:$D1345,D577)&gt;1,"duplicated","original")</f>
        <v>duplicated</v>
      </c>
      <c r="L577" s="2">
        <f>COUNTIF($D$2:$D577,D577)</f>
        <v>2</v>
      </c>
      <c r="M577" t="str">
        <f xml:space="preserve"> IF(COUNTIF($I$2:$I1345,I577)&gt;1,"duplicated","original")</f>
        <v>duplicated</v>
      </c>
      <c r="N577" s="2">
        <f>COUNTIF($I$2:$I577,I577)</f>
        <v>38</v>
      </c>
      <c r="O577" s="8">
        <f t="shared" si="32"/>
        <v>5.0015602247103281</v>
      </c>
      <c r="P577" s="8">
        <f t="shared" si="33"/>
        <v>2.8679204121186967</v>
      </c>
      <c r="Q577">
        <v>80</v>
      </c>
      <c r="R577" s="9">
        <f t="shared" si="35"/>
        <v>0.56321379582085329</v>
      </c>
      <c r="S577">
        <v>41</v>
      </c>
      <c r="T577" s="9">
        <f t="shared" si="34"/>
        <v>-2.2568557548175985</v>
      </c>
    </row>
    <row r="578" spans="1:20" x14ac:dyDescent="0.25">
      <c r="A578">
        <v>577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>
        <v>0</v>
      </c>
      <c r="K578" t="str">
        <f xml:space="preserve"> IF(COUNTIF($D$2:$D1346,D578)&gt;1,"duplicated","original")</f>
        <v>duplicated</v>
      </c>
      <c r="L578" s="2">
        <f>COUNTIF($D$2:$D578,D578)</f>
        <v>3</v>
      </c>
      <c r="M578" t="str">
        <f xml:space="preserve"> IF(COUNTIF($I$2:$I1346,I578)&gt;1,"duplicated","original")</f>
        <v>duplicated</v>
      </c>
      <c r="N578" s="2">
        <f>COUNTIF($I$2:$I578,I578)</f>
        <v>10</v>
      </c>
      <c r="O578" s="8">
        <f t="shared" ref="O578:O641" si="36">SQRT(ABS($D578 - $U$8))</f>
        <v>5.0015602247103281</v>
      </c>
      <c r="P578" s="8">
        <f t="shared" ref="P578:P641" si="37">SQRT(ABS($I578 - $W$8))</f>
        <v>1.332303460084423</v>
      </c>
      <c r="Q578">
        <v>80</v>
      </c>
      <c r="R578" s="9">
        <f t="shared" si="35"/>
        <v>0.56321379582085329</v>
      </c>
      <c r="S578">
        <v>41</v>
      </c>
      <c r="T578" s="9">
        <f t="shared" si="34"/>
        <v>-1.744115836519698</v>
      </c>
    </row>
    <row r="579" spans="1:20" x14ac:dyDescent="0.25">
      <c r="A579">
        <v>578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>
        <v>1</v>
      </c>
      <c r="K579" t="str">
        <f xml:space="preserve"> IF(COUNTIF($D$2:$D1333,$D$3)&gt;1,"duplicated","original")</f>
        <v>duplicated</v>
      </c>
      <c r="L579" s="2">
        <f>COUNTIF($D$2:$D579,D579)</f>
        <v>29</v>
      </c>
      <c r="M579" t="str">
        <f xml:space="preserve"> IF(COUNTIF($I$2:$I1333,I579)&gt;1,"duplicated","original")</f>
        <v>duplicated</v>
      </c>
      <c r="N579" s="2">
        <f>COUNTIF($I$2:$I579,I579)</f>
        <v>50</v>
      </c>
      <c r="O579" s="8">
        <f t="shared" si="36"/>
        <v>3.3142714612106796</v>
      </c>
      <c r="P579" s="8">
        <f t="shared" si="37"/>
        <v>3.4964220984096119</v>
      </c>
      <c r="Q579">
        <v>80</v>
      </c>
      <c r="R579" s="9">
        <f t="shared" si="35"/>
        <v>0.56321379582085329</v>
      </c>
      <c r="S579">
        <v>41</v>
      </c>
      <c r="T579" s="9">
        <f t="shared" ref="T579:T642" si="38">STANDARDIZE($I579,$U$8,$U$26)</f>
        <v>-2.4619517221367584</v>
      </c>
    </row>
    <row r="580" spans="1:20" x14ac:dyDescent="0.25">
      <c r="A580">
        <v>579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>
        <v>0</v>
      </c>
      <c r="K580" t="str">
        <f xml:space="preserve"> IF(COUNTIF($D$2:$D1348,D580)&gt;1,"duplicated","original")</f>
        <v>duplicated</v>
      </c>
      <c r="L580" s="2">
        <f>COUNTIF($D$2:$D580,D580)</f>
        <v>41</v>
      </c>
      <c r="M580" t="str">
        <f xml:space="preserve"> IF(COUNTIF($I$2:$I1348,I580)&gt;1,"duplicated","original")</f>
        <v>duplicated</v>
      </c>
      <c r="N580" s="2">
        <f>COUNTIF($I$2:$I580,I580)</f>
        <v>13</v>
      </c>
      <c r="O580" s="8">
        <f t="shared" si="36"/>
        <v>1.0077721376404618</v>
      </c>
      <c r="P580" s="8">
        <f t="shared" si="37"/>
        <v>1.6658428826731906</v>
      </c>
      <c r="Q580">
        <v>80</v>
      </c>
      <c r="R580" s="9">
        <f t="shared" si="35"/>
        <v>0.56321379582085329</v>
      </c>
      <c r="S580">
        <v>41</v>
      </c>
      <c r="T580" s="9">
        <f t="shared" si="38"/>
        <v>-1.6928418446899081</v>
      </c>
    </row>
    <row r="581" spans="1:20" x14ac:dyDescent="0.25">
      <c r="A581">
        <v>580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>
        <v>1</v>
      </c>
      <c r="K581" t="str">
        <f xml:space="preserve"> IF(COUNTIF($D$2:$D1349,D581)&gt;1,"duplicated","original")</f>
        <v>duplicated</v>
      </c>
      <c r="L581" s="2">
        <f>COUNTIF($D$2:$D581,D581)</f>
        <v>46</v>
      </c>
      <c r="M581" t="str">
        <f xml:space="preserve"> IF(COUNTIF($I$2:$I1349,I581)&gt;1,"duplicated","original")</f>
        <v>duplicated</v>
      </c>
      <c r="N581" s="2">
        <f>COUNTIF($I$2:$I581,I581)</f>
        <v>3</v>
      </c>
      <c r="O581" s="8">
        <f t="shared" si="36"/>
        <v>0.99216698120607405</v>
      </c>
      <c r="P581" s="8">
        <f t="shared" si="37"/>
        <v>5.3642364330585695</v>
      </c>
      <c r="Q581">
        <v>80</v>
      </c>
      <c r="R581" s="9">
        <f t="shared" ref="R581:R644" si="39">STANDARDIZE($Q581,$U$8,$U$26)</f>
        <v>0.56321379582085329</v>
      </c>
      <c r="S581">
        <v>41</v>
      </c>
      <c r="T581" s="9">
        <f t="shared" si="38"/>
        <v>-0.35971805711536725</v>
      </c>
    </row>
    <row r="582" spans="1:20" x14ac:dyDescent="0.25">
      <c r="A582">
        <v>581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>
        <v>1</v>
      </c>
      <c r="K582" t="str">
        <f xml:space="preserve"> IF(COUNTIF($D$2:$D1336,$D$3)&gt;1,"duplicated","original")</f>
        <v>duplicated</v>
      </c>
      <c r="L582" s="2">
        <f>COUNTIF($D$2:$D582,D582)</f>
        <v>20</v>
      </c>
      <c r="M582" t="str">
        <f xml:space="preserve"> IF(COUNTIF($I$2:$I1350,I582)&gt;1,"duplicated","original")</f>
        <v>duplicated</v>
      </c>
      <c r="N582" s="2">
        <f>COUNTIF($I$2:$I582,I582)</f>
        <v>51</v>
      </c>
      <c r="O582" s="8">
        <f t="shared" si="36"/>
        <v>4.5808727682173815</v>
      </c>
      <c r="P582" s="8">
        <f t="shared" si="37"/>
        <v>3.4964220984096119</v>
      </c>
      <c r="Q582">
        <v>80</v>
      </c>
      <c r="R582" s="9">
        <f t="shared" si="39"/>
        <v>0.56321379582085329</v>
      </c>
      <c r="S582">
        <v>41</v>
      </c>
      <c r="T582" s="9">
        <f t="shared" si="38"/>
        <v>-2.4619517221367584</v>
      </c>
    </row>
    <row r="583" spans="1:20" x14ac:dyDescent="0.25">
      <c r="A583">
        <v>582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>
        <v>0</v>
      </c>
      <c r="K583" t="str">
        <f xml:space="preserve"> IF(COUNTIF($D$2:$D1351,D583)&gt;1,"duplicated","original")</f>
        <v>duplicated</v>
      </c>
      <c r="L583" s="2">
        <f>COUNTIF($D$2:$D583,D583)</f>
        <v>26</v>
      </c>
      <c r="M583" t="str">
        <f xml:space="preserve"> IF(COUNTIF($I$2:$I1337,I583)&gt;1,"duplicated","original")</f>
        <v>duplicated</v>
      </c>
      <c r="N583" s="2">
        <f>COUNTIF($I$2:$I583,I583)</f>
        <v>21</v>
      </c>
      <c r="O583" s="8">
        <f t="shared" si="36"/>
        <v>3.002599653867366</v>
      </c>
      <c r="P583" s="8">
        <f t="shared" si="37"/>
        <v>2.4949884749727951</v>
      </c>
      <c r="Q583">
        <v>80</v>
      </c>
      <c r="R583" s="9">
        <f t="shared" si="39"/>
        <v>0.56321379582085329</v>
      </c>
      <c r="S583">
        <v>41</v>
      </c>
      <c r="T583" s="9">
        <f t="shared" si="38"/>
        <v>-2.1543077711580185</v>
      </c>
    </row>
    <row r="584" spans="1:20" x14ac:dyDescent="0.25">
      <c r="A584">
        <v>583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>
        <v>0</v>
      </c>
      <c r="K584" t="str">
        <f xml:space="preserve"> IF(COUNTIF($D$2:$D1352,D584)&gt;1,"duplicated","original")</f>
        <v>duplicated</v>
      </c>
      <c r="L584" s="2">
        <f>COUNTIF($D$2:$D584,D584)</f>
        <v>30</v>
      </c>
      <c r="M584" t="str">
        <f xml:space="preserve"> IF(COUNTIF($I$2:$I1352,I584)&gt;1,"duplicated","original")</f>
        <v>duplicated</v>
      </c>
      <c r="N584" s="2">
        <f>COUNTIF($I$2:$I584,I584)</f>
        <v>4</v>
      </c>
      <c r="O584" s="8">
        <f t="shared" si="36"/>
        <v>2.9973980914445737</v>
      </c>
      <c r="P584" s="8">
        <f t="shared" si="37"/>
        <v>5.3642364330585695</v>
      </c>
      <c r="Q584">
        <v>80</v>
      </c>
      <c r="R584" s="9">
        <f t="shared" si="39"/>
        <v>0.56321379582085329</v>
      </c>
      <c r="S584">
        <v>41</v>
      </c>
      <c r="T584" s="9">
        <f t="shared" si="38"/>
        <v>-0.35971805711536725</v>
      </c>
    </row>
    <row r="585" spans="1:20" x14ac:dyDescent="0.25">
      <c r="A585">
        <v>584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>
        <v>0</v>
      </c>
      <c r="K585" t="str">
        <f xml:space="preserve"> IF(COUNTIF($D$2:$D1339,$D$3)&gt;1,"duplicated","original")</f>
        <v>duplicated</v>
      </c>
      <c r="L585" s="2">
        <f>COUNTIF($D$2:$D585,D585)</f>
        <v>27</v>
      </c>
      <c r="M585" t="str">
        <f xml:space="preserve"> IF(COUNTIF($I$2:$I1353,I585)&gt;1,"duplicated","original")</f>
        <v>duplicated</v>
      </c>
      <c r="N585" s="2">
        <f>COUNTIF($I$2:$I585,I585)</f>
        <v>13</v>
      </c>
      <c r="O585" s="8">
        <f t="shared" si="36"/>
        <v>2.642800658126824</v>
      </c>
      <c r="P585" s="8">
        <f t="shared" si="37"/>
        <v>2.9622681360324097</v>
      </c>
      <c r="Q585">
        <v>80</v>
      </c>
      <c r="R585" s="9">
        <f t="shared" si="39"/>
        <v>0.56321379582085329</v>
      </c>
      <c r="S585">
        <v>41</v>
      </c>
      <c r="T585" s="9">
        <f t="shared" si="38"/>
        <v>-1.385197893711168</v>
      </c>
    </row>
    <row r="586" spans="1:20" x14ac:dyDescent="0.25">
      <c r="A586">
        <v>585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>
        <v>1</v>
      </c>
      <c r="K586" t="str">
        <f xml:space="preserve"> IF(COUNTIF($D$2:$D1354,D586)&gt;1,"duplicated","original")</f>
        <v>duplicated</v>
      </c>
      <c r="L586" s="2">
        <f>COUNTIF($D$2:$D586,D586)</f>
        <v>28</v>
      </c>
      <c r="M586" t="str">
        <f xml:space="preserve"> IF(COUNTIF($I$2:$I1354,I586)&gt;1,"duplicated","original")</f>
        <v>duplicated</v>
      </c>
      <c r="N586" s="2">
        <f>COUNTIF($I$2:$I586,I586)</f>
        <v>4</v>
      </c>
      <c r="O586" s="8">
        <f t="shared" si="36"/>
        <v>2.642800658126824</v>
      </c>
      <c r="P586" s="8">
        <f t="shared" si="37"/>
        <v>4.3330165600598534</v>
      </c>
      <c r="Q586">
        <v>80</v>
      </c>
      <c r="R586" s="9">
        <f t="shared" si="39"/>
        <v>0.56321379582085329</v>
      </c>
      <c r="S586">
        <v>41</v>
      </c>
      <c r="T586" s="9">
        <f t="shared" si="38"/>
        <v>-0.87245797541326753</v>
      </c>
    </row>
    <row r="587" spans="1:20" x14ac:dyDescent="0.25">
      <c r="A587">
        <v>586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>
        <v>0</v>
      </c>
      <c r="K587" t="str">
        <f xml:space="preserve"> IF(COUNTIF($D$2:$D1355,D587)&gt;1,"duplicated","original")</f>
        <v>duplicated</v>
      </c>
      <c r="L587" s="2">
        <f>COUNTIF($D$2:$D587,D587)</f>
        <v>10</v>
      </c>
      <c r="M587" t="str">
        <f xml:space="preserve"> IF(COUNTIF($I$2:$I1341,I587)&gt;1,"duplicated","original")</f>
        <v>duplicated</v>
      </c>
      <c r="N587" s="2">
        <f>COUNTIF($I$2:$I587,I587)</f>
        <v>51</v>
      </c>
      <c r="O587" s="8">
        <f t="shared" si="36"/>
        <v>3.6077146064239098</v>
      </c>
      <c r="P587" s="8">
        <f t="shared" si="37"/>
        <v>3.3503682618851132</v>
      </c>
      <c r="Q587">
        <v>80</v>
      </c>
      <c r="R587" s="9">
        <f t="shared" si="39"/>
        <v>0.56321379582085329</v>
      </c>
      <c r="S587">
        <v>41</v>
      </c>
      <c r="T587" s="9">
        <f t="shared" si="38"/>
        <v>-2.4106777303069684</v>
      </c>
    </row>
    <row r="588" spans="1:20" x14ac:dyDescent="0.25">
      <c r="A588">
        <v>587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>
        <v>1</v>
      </c>
      <c r="K588" t="str">
        <f xml:space="preserve"> IF(COUNTIF($D$2:$D1342,$D$3)&gt;1,"duplicated","original")</f>
        <v>duplicated</v>
      </c>
      <c r="L588" s="2">
        <f>COUNTIF($D$2:$D588,D588)</f>
        <v>28</v>
      </c>
      <c r="M588" t="str">
        <f xml:space="preserve"> IF(COUNTIF($I$2:$I1356,I588)&gt;1,"duplicated","original")</f>
        <v>duplicated</v>
      </c>
      <c r="N588" s="2">
        <f>COUNTIF($I$2:$I588,I588)</f>
        <v>20</v>
      </c>
      <c r="O588" s="8">
        <f t="shared" si="36"/>
        <v>1.7365496484133203</v>
      </c>
      <c r="P588" s="8">
        <f t="shared" si="37"/>
        <v>2.7883745282427403</v>
      </c>
      <c r="Q588">
        <v>80</v>
      </c>
      <c r="R588" s="9">
        <f t="shared" si="39"/>
        <v>0.56321379582085329</v>
      </c>
      <c r="S588">
        <v>41</v>
      </c>
      <c r="T588" s="9">
        <f t="shared" si="38"/>
        <v>-1.4364718855409579</v>
      </c>
    </row>
    <row r="589" spans="1:20" x14ac:dyDescent="0.25">
      <c r="A589">
        <v>588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>
        <v>0</v>
      </c>
      <c r="K589" t="str">
        <f xml:space="preserve"> IF(COUNTIF($D$2:$D1357,D589)&gt;1,"duplicated","original")</f>
        <v>duplicated</v>
      </c>
      <c r="L589" s="2">
        <f>COUNTIF($D$2:$D589,D589)</f>
        <v>29</v>
      </c>
      <c r="M589" t="str">
        <f xml:space="preserve"> IF(COUNTIF($I$2:$I1357,I589)&gt;1,"duplicated","original")</f>
        <v>duplicated</v>
      </c>
      <c r="N589" s="2">
        <f>COUNTIF($I$2:$I589,I589)</f>
        <v>27</v>
      </c>
      <c r="O589" s="8">
        <f t="shared" si="36"/>
        <v>1.7365496484133203</v>
      </c>
      <c r="P589" s="8">
        <f t="shared" si="37"/>
        <v>2.0554725710276638</v>
      </c>
      <c r="Q589">
        <v>80</v>
      </c>
      <c r="R589" s="9">
        <f t="shared" si="39"/>
        <v>0.56321379582085329</v>
      </c>
      <c r="S589">
        <v>41</v>
      </c>
      <c r="T589" s="9">
        <f t="shared" si="38"/>
        <v>-2.0517597874984381</v>
      </c>
    </row>
    <row r="590" spans="1:20" x14ac:dyDescent="0.25">
      <c r="A590">
        <v>589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>
        <v>1</v>
      </c>
      <c r="K590" t="str">
        <f xml:space="preserve"> IF(COUNTIF($D$2:$D1358,D590)&gt;1,"duplicated","original")</f>
        <v>duplicated</v>
      </c>
      <c r="L590" s="2">
        <f>COUNTIF($D$2:$D590,D590)</f>
        <v>14</v>
      </c>
      <c r="M590" t="str">
        <f xml:space="preserve"> IF(COUNTIF($I$2:$I1358,I590)&gt;1,"duplicated","original")</f>
        <v>duplicated</v>
      </c>
      <c r="N590" s="2">
        <f>COUNTIF($I$2:$I590,I590)</f>
        <v>5</v>
      </c>
      <c r="O590" s="8">
        <f t="shared" si="36"/>
        <v>4.121212845582666</v>
      </c>
      <c r="P590" s="8">
        <f t="shared" si="37"/>
        <v>4.3330165600598534</v>
      </c>
      <c r="Q590">
        <v>80</v>
      </c>
      <c r="R590" s="9">
        <f t="shared" si="39"/>
        <v>0.56321379582085329</v>
      </c>
      <c r="S590">
        <v>41</v>
      </c>
      <c r="T590" s="9">
        <f t="shared" si="38"/>
        <v>-0.87245797541326753</v>
      </c>
    </row>
    <row r="591" spans="1:20" x14ac:dyDescent="0.25">
      <c r="A591">
        <v>590</v>
      </c>
      <c r="B591">
        <v>0</v>
      </c>
      <c r="C591">
        <v>73</v>
      </c>
      <c r="D591">
        <v>0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>
        <v>0</v>
      </c>
      <c r="K591" t="str">
        <f xml:space="preserve"> IF(COUNTIF($D$2:$D1345,$D$3)&gt;1,"duplicated","original")</f>
        <v>duplicated</v>
      </c>
      <c r="L591" s="2">
        <f>COUNTIF($D$2:$D591,D591)</f>
        <v>28</v>
      </c>
      <c r="M591" t="str">
        <f xml:space="preserve"> IF(COUNTIF($I$2:$I1345,I591)&gt;1,"duplicated","original")</f>
        <v>duplicated</v>
      </c>
      <c r="N591" s="2">
        <f>COUNTIF($I$2:$I591,I591)</f>
        <v>39</v>
      </c>
      <c r="O591" s="8">
        <f t="shared" si="36"/>
        <v>8.3075631012592623</v>
      </c>
      <c r="P591" s="8">
        <f t="shared" si="37"/>
        <v>2.8679204121186967</v>
      </c>
      <c r="Q591">
        <v>80</v>
      </c>
      <c r="R591" s="9">
        <f t="shared" si="39"/>
        <v>0.56321379582085329</v>
      </c>
      <c r="S591">
        <v>41</v>
      </c>
      <c r="T591" s="9">
        <f t="shared" si="38"/>
        <v>-2.2568557548175985</v>
      </c>
    </row>
    <row r="592" spans="1:20" x14ac:dyDescent="0.25">
      <c r="A592">
        <v>591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>
        <v>1</v>
      </c>
      <c r="K592" t="str">
        <f xml:space="preserve"> IF(COUNTIF($D$2:$D1360,D592)&gt;1,"duplicated","original")</f>
        <v>duplicated</v>
      </c>
      <c r="L592" s="2">
        <f>COUNTIF($D$2:$D592,D592)</f>
        <v>19</v>
      </c>
      <c r="M592" t="str">
        <f xml:space="preserve"> IF(COUNTIF($I$2:$I1360,I592)&gt;1,"duplicated","original")</f>
        <v>duplicated</v>
      </c>
      <c r="N592" s="2">
        <f>COUNTIF($I$2:$I592,I592)</f>
        <v>8</v>
      </c>
      <c r="O592" s="8">
        <f t="shared" si="36"/>
        <v>3.8709682662863014</v>
      </c>
      <c r="P592" s="8">
        <f t="shared" si="37"/>
        <v>3.4314767243495803</v>
      </c>
      <c r="Q592">
        <v>80</v>
      </c>
      <c r="R592" s="9">
        <f t="shared" si="39"/>
        <v>0.56321379582085329</v>
      </c>
      <c r="S592">
        <v>41</v>
      </c>
      <c r="T592" s="9">
        <f t="shared" si="38"/>
        <v>-1.2313759182217978</v>
      </c>
    </row>
    <row r="593" spans="1:20" x14ac:dyDescent="0.25">
      <c r="A593">
        <v>592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>
        <v>0</v>
      </c>
      <c r="K593" t="str">
        <f xml:space="preserve"> IF(COUNTIF($D$2:$D1361,D593)&gt;1,"duplicated","original")</f>
        <v>duplicated</v>
      </c>
      <c r="L593" s="2">
        <f>COUNTIF($D$2:$D593,D593)</f>
        <v>31</v>
      </c>
      <c r="M593" t="str">
        <f xml:space="preserve"> IF(COUNTIF($I$2:$I1361,I593)&gt;1,"duplicated","original")</f>
        <v>duplicated</v>
      </c>
      <c r="N593" s="2">
        <f>COUNTIF($I$2:$I593,I593)</f>
        <v>37</v>
      </c>
      <c r="O593" s="8">
        <f t="shared" si="36"/>
        <v>2.9973980914445737</v>
      </c>
      <c r="P593" s="8">
        <f t="shared" si="37"/>
        <v>3.0372631578852487</v>
      </c>
      <c r="Q593">
        <v>80</v>
      </c>
      <c r="R593" s="9">
        <f t="shared" si="39"/>
        <v>0.56321379582085329</v>
      </c>
      <c r="S593">
        <v>41</v>
      </c>
      <c r="T593" s="9">
        <f t="shared" si="38"/>
        <v>-2.3081297466473885</v>
      </c>
    </row>
    <row r="594" spans="1:20" x14ac:dyDescent="0.25">
      <c r="A594">
        <v>593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>
        <v>1</v>
      </c>
      <c r="K594" t="str">
        <f xml:space="preserve"> IF(COUNTIF($D$2:$D1348,$D$3)&gt;1,"duplicated","original")</f>
        <v>duplicated</v>
      </c>
      <c r="L594" s="2">
        <f>COUNTIF($D$2:$D594,D594)</f>
        <v>30</v>
      </c>
      <c r="M594" t="str">
        <f xml:space="preserve"> IF(COUNTIF($I$2:$I1362,I594)&gt;1,"duplicated","original")</f>
        <v>duplicated</v>
      </c>
      <c r="N594" s="2">
        <f>COUNTIF($I$2:$I594,I594)</f>
        <v>7</v>
      </c>
      <c r="O594" s="8">
        <f t="shared" si="36"/>
        <v>3.3142714612106796</v>
      </c>
      <c r="P594" s="8">
        <f t="shared" si="37"/>
        <v>3.282534464366357</v>
      </c>
      <c r="Q594">
        <v>80</v>
      </c>
      <c r="R594" s="9">
        <f t="shared" si="39"/>
        <v>0.56321379582085329</v>
      </c>
      <c r="S594">
        <v>41</v>
      </c>
      <c r="T594" s="9">
        <f t="shared" si="38"/>
        <v>-1.2826499100515878</v>
      </c>
    </row>
    <row r="595" spans="1:20" x14ac:dyDescent="0.25">
      <c r="A595">
        <v>594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>
        <v>0</v>
      </c>
      <c r="K595" t="str">
        <f xml:space="preserve"> IF(COUNTIF($D$2:$D1363,D595)&gt;1,"duplicated","original")</f>
        <v>duplicated</v>
      </c>
      <c r="L595" s="2">
        <f>COUNTIF($D$2:$D595,D595)</f>
        <v>8</v>
      </c>
      <c r="M595" t="str">
        <f xml:space="preserve"> IF(COUNTIF($I$2:$I1349,I595)&gt;1,"duplicated","original")</f>
        <v>duplicated</v>
      </c>
      <c r="N595" s="2">
        <f>COUNTIF($I$2:$I595,I595)</f>
        <v>40</v>
      </c>
      <c r="O595" s="8">
        <f t="shared" si="36"/>
        <v>4.1249975371391949</v>
      </c>
      <c r="P595" s="8">
        <f t="shared" si="37"/>
        <v>2.8679204121186967</v>
      </c>
      <c r="Q595">
        <v>80</v>
      </c>
      <c r="R595" s="9">
        <f t="shared" si="39"/>
        <v>0.56321379582085329</v>
      </c>
      <c r="S595">
        <v>41</v>
      </c>
      <c r="T595" s="9">
        <f t="shared" si="38"/>
        <v>-2.2568557548175985</v>
      </c>
    </row>
    <row r="596" spans="1:20" x14ac:dyDescent="0.25">
      <c r="A596">
        <v>595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>
        <v>0</v>
      </c>
      <c r="K596" t="str">
        <f xml:space="preserve"> IF(COUNTIF($D$2:$D1364,D596)&gt;1,"duplicated","original")</f>
        <v>duplicated</v>
      </c>
      <c r="L596" s="2">
        <f>COUNTIF($D$2:$D596,D596)</f>
        <v>37</v>
      </c>
      <c r="M596" t="str">
        <f xml:space="preserve"> IF(COUNTIF($I$2:$I1364,I596)&gt;1,"duplicated","original")</f>
        <v>duplicated</v>
      </c>
      <c r="N596" s="2">
        <f>COUNTIF($I$2:$I596,I596)</f>
        <v>9</v>
      </c>
      <c r="O596" s="8">
        <f t="shared" si="36"/>
        <v>1.7275402509335562</v>
      </c>
      <c r="P596" s="8">
        <f t="shared" si="37"/>
        <v>0.88035930718822164</v>
      </c>
      <c r="Q596">
        <v>80</v>
      </c>
      <c r="R596" s="9">
        <f t="shared" si="39"/>
        <v>0.56321379582085329</v>
      </c>
      <c r="S596">
        <v>41</v>
      </c>
      <c r="T596" s="9">
        <f t="shared" si="38"/>
        <v>-1.795389828349488</v>
      </c>
    </row>
    <row r="597" spans="1:20" x14ac:dyDescent="0.25">
      <c r="A597">
        <v>596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>
        <v>1</v>
      </c>
      <c r="K597" t="str">
        <f xml:space="preserve"> IF(COUNTIF($D$2:$D1351,$D$3)&gt;1,"duplicated","original")</f>
        <v>duplicated</v>
      </c>
      <c r="L597" s="2">
        <f>COUNTIF($D$2:$D597,D597)</f>
        <v>22</v>
      </c>
      <c r="M597" t="str">
        <f xml:space="preserve"> IF(COUNTIF($I$2:$I1365,I597)&gt;1,"duplicated","original")</f>
        <v>duplicated</v>
      </c>
      <c r="N597" s="2">
        <f>COUNTIF($I$2:$I597,I597)</f>
        <v>52</v>
      </c>
      <c r="O597" s="8">
        <f t="shared" si="36"/>
        <v>3.6033866457258754</v>
      </c>
      <c r="P597" s="8">
        <f t="shared" si="37"/>
        <v>3.3503682618851132</v>
      </c>
      <c r="Q597">
        <v>80</v>
      </c>
      <c r="R597" s="9">
        <f t="shared" si="39"/>
        <v>0.56321379582085329</v>
      </c>
      <c r="S597">
        <v>41</v>
      </c>
      <c r="T597" s="9">
        <f t="shared" si="38"/>
        <v>-2.4106777303069684</v>
      </c>
    </row>
    <row r="598" spans="1:20" x14ac:dyDescent="0.25">
      <c r="A598">
        <v>597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>
        <v>0</v>
      </c>
      <c r="K598" t="str">
        <f xml:space="preserve"> IF(COUNTIF($D$2:$D1366,D598)&gt;1,"duplicated","original")</f>
        <v>duplicated</v>
      </c>
      <c r="L598" s="2">
        <f>COUNTIF($D$2:$D598,D598)</f>
        <v>29</v>
      </c>
      <c r="M598" t="str">
        <f xml:space="preserve"> IF(COUNTIF($I$2:$I1366,I598)&gt;1,"duplicated","original")</f>
        <v>duplicated</v>
      </c>
      <c r="N598" s="2">
        <f>COUNTIF($I$2:$I598,I598)</f>
        <v>11</v>
      </c>
      <c r="O598" s="8">
        <f t="shared" si="36"/>
        <v>2.642800658126824</v>
      </c>
      <c r="P598" s="8">
        <f t="shared" si="37"/>
        <v>3.5742177479489028</v>
      </c>
      <c r="Q598">
        <v>80</v>
      </c>
      <c r="R598" s="9">
        <f t="shared" si="39"/>
        <v>0.56321379582085329</v>
      </c>
      <c r="S598">
        <v>41</v>
      </c>
      <c r="T598" s="9">
        <f t="shared" si="38"/>
        <v>-1.1801019263920078</v>
      </c>
    </row>
    <row r="599" spans="1:20" x14ac:dyDescent="0.25">
      <c r="A599">
        <v>598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>
        <v>0</v>
      </c>
      <c r="K599" t="str">
        <f xml:space="preserve"> IF(COUNTIF($D$2:$D1367,D599)&gt;1,"duplicated","original")</f>
        <v>original</v>
      </c>
      <c r="L599" s="2">
        <f>COUNTIF($D$2:$D599,D599)</f>
        <v>1</v>
      </c>
      <c r="M599" t="str">
        <f xml:space="preserve"> IF(COUNTIF($I$2:$I1353,I599)&gt;1,"duplicated","original")</f>
        <v>duplicated</v>
      </c>
      <c r="N599" s="2">
        <f>COUNTIF($I$2:$I599,I599)</f>
        <v>52</v>
      </c>
      <c r="O599" s="8">
        <f t="shared" si="36"/>
        <v>6.7093669359638115</v>
      </c>
      <c r="P599" s="8">
        <f t="shared" si="37"/>
        <v>3.4964220984096119</v>
      </c>
      <c r="Q599">
        <v>80</v>
      </c>
      <c r="R599" s="9">
        <f t="shared" si="39"/>
        <v>0.56321379582085329</v>
      </c>
      <c r="S599">
        <v>42</v>
      </c>
      <c r="T599" s="9">
        <f t="shared" si="38"/>
        <v>-2.4619517221367584</v>
      </c>
    </row>
    <row r="600" spans="1:20" x14ac:dyDescent="0.25">
      <c r="A600">
        <v>599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>
        <v>1</v>
      </c>
      <c r="K600" t="str">
        <f xml:space="preserve"> IF(COUNTIF($D$2:$D1354,$D$3)&gt;1,"duplicated","original")</f>
        <v>duplicated</v>
      </c>
      <c r="L600" s="2">
        <f>COUNTIF($D$2:$D600,D600)</f>
        <v>38</v>
      </c>
      <c r="M600" t="str">
        <f xml:space="preserve"> IF(COUNTIF($I$2:$I1368,I600)&gt;1,"duplicated","original")</f>
        <v>duplicated</v>
      </c>
      <c r="N600" s="2">
        <f>COUNTIF($I$2:$I600,I600)</f>
        <v>13</v>
      </c>
      <c r="O600" s="8">
        <f t="shared" si="36"/>
        <v>2.2325759379236296</v>
      </c>
      <c r="P600" s="8">
        <f t="shared" si="37"/>
        <v>2.1851847770275459</v>
      </c>
      <c r="Q600">
        <v>80</v>
      </c>
      <c r="R600" s="9">
        <f t="shared" si="39"/>
        <v>0.56321379582085329</v>
      </c>
      <c r="S600">
        <v>42</v>
      </c>
      <c r="T600" s="9">
        <f t="shared" si="38"/>
        <v>-1.5902938610303279</v>
      </c>
    </row>
    <row r="601" spans="1:20" x14ac:dyDescent="0.25">
      <c r="A601">
        <v>600</v>
      </c>
      <c r="B601">
        <v>1</v>
      </c>
      <c r="C601">
        <v>109</v>
      </c>
      <c r="D601">
        <v>38</v>
      </c>
      <c r="E601">
        <v>18</v>
      </c>
      <c r="F601">
        <v>120</v>
      </c>
      <c r="G601">
        <v>23.1</v>
      </c>
      <c r="H601">
        <v>0.40699999999999997</v>
      </c>
      <c r="I601">
        <v>26</v>
      </c>
      <c r="J601">
        <v>0</v>
      </c>
      <c r="K601" t="str">
        <f xml:space="preserve"> IF(COUNTIF($D$2:$D1369,D601)&gt;1,"duplicated","original")</f>
        <v>original</v>
      </c>
      <c r="L601" s="2">
        <f>COUNTIF($D$2:$D601,D601)</f>
        <v>1</v>
      </c>
      <c r="M601" t="str">
        <f xml:space="preserve"> IF(COUNTIF($I$2:$I1369,I601)&gt;1,"duplicated","original")</f>
        <v>duplicated</v>
      </c>
      <c r="N601" s="2">
        <f>COUNTIF($I$2:$I601,I601)</f>
        <v>26</v>
      </c>
      <c r="O601" s="8">
        <f t="shared" si="36"/>
        <v>5.5691655282819905</v>
      </c>
      <c r="P601" s="8">
        <f t="shared" si="37"/>
        <v>2.6879299637912952</v>
      </c>
      <c r="Q601">
        <v>80</v>
      </c>
      <c r="R601" s="9">
        <f t="shared" si="39"/>
        <v>0.56321379582085329</v>
      </c>
      <c r="S601">
        <v>42</v>
      </c>
      <c r="T601" s="9">
        <f t="shared" si="38"/>
        <v>-2.2055817629878085</v>
      </c>
    </row>
    <row r="602" spans="1:20" x14ac:dyDescent="0.25">
      <c r="A602">
        <v>601</v>
      </c>
      <c r="B602">
        <v>1</v>
      </c>
      <c r="C602">
        <v>108</v>
      </c>
      <c r="D602">
        <v>88</v>
      </c>
      <c r="E602">
        <v>19</v>
      </c>
      <c r="F602">
        <v>0</v>
      </c>
      <c r="G602">
        <v>27.1</v>
      </c>
      <c r="H602">
        <v>0.4</v>
      </c>
      <c r="I602">
        <v>24</v>
      </c>
      <c r="J602">
        <v>0</v>
      </c>
      <c r="K602" t="str">
        <f xml:space="preserve"> IF(COUNTIF($D$2:$D1370,D602)&gt;1,"duplicated","original")</f>
        <v>duplicated</v>
      </c>
      <c r="L602" s="2">
        <f>COUNTIF($D$2:$D602,D602)</f>
        <v>16</v>
      </c>
      <c r="M602" t="str">
        <f xml:space="preserve"> IF(COUNTIF($I$2:$I1370,I602)&gt;1,"duplicated","original")</f>
        <v>duplicated</v>
      </c>
      <c r="N602" s="2">
        <f>COUNTIF($I$2:$I602,I602)</f>
        <v>38</v>
      </c>
      <c r="O602" s="8">
        <f t="shared" si="36"/>
        <v>4.3571085961444176</v>
      </c>
      <c r="P602" s="8">
        <f t="shared" si="37"/>
        <v>3.0372631578852487</v>
      </c>
      <c r="Q602">
        <v>80</v>
      </c>
      <c r="R602" s="9">
        <f t="shared" si="39"/>
        <v>0.56321379582085329</v>
      </c>
      <c r="S602">
        <v>42</v>
      </c>
      <c r="T602" s="9">
        <f t="shared" si="38"/>
        <v>-2.3081297466473885</v>
      </c>
    </row>
    <row r="603" spans="1:20" x14ac:dyDescent="0.25">
      <c r="A603">
        <v>602</v>
      </c>
      <c r="B603">
        <v>6</v>
      </c>
      <c r="C603">
        <v>96</v>
      </c>
      <c r="D603">
        <v>0</v>
      </c>
      <c r="E603">
        <v>0</v>
      </c>
      <c r="F603">
        <v>0</v>
      </c>
      <c r="G603">
        <v>23.7</v>
      </c>
      <c r="H603">
        <v>0.19</v>
      </c>
      <c r="I603">
        <v>28</v>
      </c>
      <c r="J603">
        <v>0</v>
      </c>
      <c r="K603" t="str">
        <f xml:space="preserve"> IF(COUNTIF($D$2:$D1357,$D$3)&gt;1,"duplicated","original")</f>
        <v>duplicated</v>
      </c>
      <c r="L603" s="2">
        <f>COUNTIF($D$2:$D603,D603)</f>
        <v>29</v>
      </c>
      <c r="M603" t="str">
        <f xml:space="preserve"> IF(COUNTIF($I$2:$I1357,I603)&gt;1,"duplicated","original")</f>
        <v>duplicated</v>
      </c>
      <c r="N603" s="2">
        <f>COUNTIF($I$2:$I603,I603)</f>
        <v>27</v>
      </c>
      <c r="O603" s="8">
        <f t="shared" si="36"/>
        <v>8.3075631012592623</v>
      </c>
      <c r="P603" s="8">
        <f t="shared" si="37"/>
        <v>2.2858187789601945</v>
      </c>
      <c r="Q603">
        <v>80</v>
      </c>
      <c r="R603" s="9">
        <f t="shared" si="39"/>
        <v>0.56321379582085329</v>
      </c>
      <c r="S603">
        <v>42</v>
      </c>
      <c r="T603" s="9">
        <f t="shared" si="38"/>
        <v>-2.1030337793282281</v>
      </c>
    </row>
    <row r="604" spans="1:20" x14ac:dyDescent="0.25">
      <c r="A604">
        <v>603</v>
      </c>
      <c r="B604">
        <v>1</v>
      </c>
      <c r="C604">
        <v>124</v>
      </c>
      <c r="D604">
        <v>74</v>
      </c>
      <c r="E604">
        <v>36</v>
      </c>
      <c r="F604">
        <v>0</v>
      </c>
      <c r="G604">
        <v>27.8</v>
      </c>
      <c r="H604">
        <v>0.1</v>
      </c>
      <c r="I604">
        <v>30</v>
      </c>
      <c r="J604">
        <v>0</v>
      </c>
      <c r="K604" t="str">
        <f xml:space="preserve"> IF(COUNTIF($D$2:$D1372,D604)&gt;1,"duplicated","original")</f>
        <v>duplicated</v>
      </c>
      <c r="L604" s="2">
        <f>COUNTIF($D$2:$D604,D604)</f>
        <v>39</v>
      </c>
      <c r="M604" t="str">
        <f xml:space="preserve"> IF(COUNTIF($I$2:$I1372,I604)&gt;1,"duplicated","original")</f>
        <v>duplicated</v>
      </c>
      <c r="N604" s="2">
        <f>COUNTIF($I$2:$I604,I604)</f>
        <v>17</v>
      </c>
      <c r="O604" s="8">
        <f t="shared" si="36"/>
        <v>2.2325759379236296</v>
      </c>
      <c r="P604" s="8">
        <f t="shared" si="37"/>
        <v>1.7958194481202931</v>
      </c>
      <c r="Q604">
        <v>80</v>
      </c>
      <c r="R604" s="9">
        <f t="shared" si="39"/>
        <v>0.56321379582085329</v>
      </c>
      <c r="S604">
        <v>42</v>
      </c>
      <c r="T604" s="9">
        <f t="shared" si="38"/>
        <v>-2.0004857956686481</v>
      </c>
    </row>
    <row r="605" spans="1:20" x14ac:dyDescent="0.25">
      <c r="A605">
        <v>604</v>
      </c>
      <c r="B605">
        <v>7</v>
      </c>
      <c r="C605">
        <v>150</v>
      </c>
      <c r="D605">
        <v>78</v>
      </c>
      <c r="E605">
        <v>29</v>
      </c>
      <c r="F605">
        <v>126</v>
      </c>
      <c r="G605">
        <v>35.200000000000003</v>
      </c>
      <c r="H605">
        <v>0.69199999999999995</v>
      </c>
      <c r="I605">
        <v>54</v>
      </c>
      <c r="J605">
        <v>1</v>
      </c>
      <c r="K605" t="str">
        <f xml:space="preserve"> IF(COUNTIF($D$2:$D1373,D605)&gt;1,"duplicated","original")</f>
        <v>duplicated</v>
      </c>
      <c r="L605" s="2">
        <f>COUNTIF($D$2:$D605,D605)</f>
        <v>32</v>
      </c>
      <c r="M605" t="str">
        <f xml:space="preserve"> IF(COUNTIF($I$2:$I1373,I605)&gt;1,"duplicated","original")</f>
        <v>duplicated</v>
      </c>
      <c r="N605" s="2">
        <f>COUNTIF($I$2:$I605,I605)</f>
        <v>5</v>
      </c>
      <c r="O605" s="8">
        <f t="shared" si="36"/>
        <v>2.9973980914445737</v>
      </c>
      <c r="P605" s="8">
        <f t="shared" si="37"/>
        <v>4.5579636362912028</v>
      </c>
      <c r="Q605">
        <v>80</v>
      </c>
      <c r="R605" s="9">
        <f t="shared" si="39"/>
        <v>0.56321379582085329</v>
      </c>
      <c r="S605">
        <v>42</v>
      </c>
      <c r="T605" s="9">
        <f t="shared" si="38"/>
        <v>-0.76990999175368746</v>
      </c>
    </row>
    <row r="606" spans="1:20" x14ac:dyDescent="0.25">
      <c r="A606">
        <v>605</v>
      </c>
      <c r="B606">
        <v>4</v>
      </c>
      <c r="C606">
        <v>183</v>
      </c>
      <c r="D606">
        <v>0</v>
      </c>
      <c r="E606">
        <v>0</v>
      </c>
      <c r="F606">
        <v>0</v>
      </c>
      <c r="G606">
        <v>28.4</v>
      </c>
      <c r="H606">
        <v>0.21199999999999999</v>
      </c>
      <c r="I606">
        <v>36</v>
      </c>
      <c r="J606">
        <v>1</v>
      </c>
      <c r="K606" t="str">
        <f xml:space="preserve"> IF(COUNTIF($D$2:$D1360,$D$3)&gt;1,"duplicated","original")</f>
        <v>duplicated</v>
      </c>
      <c r="L606" s="2">
        <f>COUNTIF($D$2:$D606,D606)</f>
        <v>30</v>
      </c>
      <c r="M606" t="str">
        <f xml:space="preserve"> IF(COUNTIF($I$2:$I1374,I606)&gt;1,"duplicated","original")</f>
        <v>duplicated</v>
      </c>
      <c r="N606" s="2">
        <f>COUNTIF($I$2:$I606,I606)</f>
        <v>14</v>
      </c>
      <c r="O606" s="8">
        <f t="shared" si="36"/>
        <v>8.3075631012592623</v>
      </c>
      <c r="P606" s="8">
        <f t="shared" si="37"/>
        <v>1.6658428826731906</v>
      </c>
      <c r="Q606">
        <v>82</v>
      </c>
      <c r="R606" s="9">
        <f t="shared" si="39"/>
        <v>0.66576177948043336</v>
      </c>
      <c r="S606">
        <v>42</v>
      </c>
      <c r="T606" s="9">
        <f t="shared" si="38"/>
        <v>-1.6928418446899081</v>
      </c>
    </row>
    <row r="607" spans="1:20" x14ac:dyDescent="0.25">
      <c r="A607">
        <v>606</v>
      </c>
      <c r="B607">
        <v>1</v>
      </c>
      <c r="C607">
        <v>124</v>
      </c>
      <c r="D607">
        <v>60</v>
      </c>
      <c r="E607">
        <v>32</v>
      </c>
      <c r="F607">
        <v>0</v>
      </c>
      <c r="G607">
        <v>35.799999999999997</v>
      </c>
      <c r="H607">
        <v>0.51400000000000001</v>
      </c>
      <c r="I607">
        <v>21</v>
      </c>
      <c r="J607">
        <v>0</v>
      </c>
      <c r="K607" t="str">
        <f xml:space="preserve"> IF(COUNTIF($D$2:$D1375,D607)&gt;1,"duplicated","original")</f>
        <v>duplicated</v>
      </c>
      <c r="L607" s="2">
        <f>COUNTIF($D$2:$D607,D607)</f>
        <v>27</v>
      </c>
      <c r="M607" t="str">
        <f xml:space="preserve"> IF(COUNTIF($I$2:$I1361,I607)&gt;1,"duplicated","original")</f>
        <v>duplicated</v>
      </c>
      <c r="N607" s="2">
        <f>COUNTIF($I$2:$I607,I607)</f>
        <v>53</v>
      </c>
      <c r="O607" s="8">
        <f t="shared" si="36"/>
        <v>3.002599653867366</v>
      </c>
      <c r="P607" s="8">
        <f t="shared" si="37"/>
        <v>3.4964220984096119</v>
      </c>
      <c r="Q607">
        <v>82</v>
      </c>
      <c r="R607" s="9">
        <f t="shared" si="39"/>
        <v>0.66576177948043336</v>
      </c>
      <c r="S607">
        <v>42</v>
      </c>
      <c r="T607" s="9">
        <f t="shared" si="38"/>
        <v>-2.4619517221367584</v>
      </c>
    </row>
    <row r="608" spans="1:20" x14ac:dyDescent="0.25">
      <c r="A608">
        <v>607</v>
      </c>
      <c r="B608">
        <v>1</v>
      </c>
      <c r="C608">
        <v>181</v>
      </c>
      <c r="D608">
        <v>78</v>
      </c>
      <c r="E608">
        <v>42</v>
      </c>
      <c r="F608">
        <v>293</v>
      </c>
      <c r="G608">
        <v>40</v>
      </c>
      <c r="H608">
        <v>1.258</v>
      </c>
      <c r="I608">
        <v>22</v>
      </c>
      <c r="J608">
        <v>1</v>
      </c>
      <c r="K608" t="str">
        <f xml:space="preserve"> IF(COUNTIF($D$2:$D1376,D608)&gt;1,"duplicated","original")</f>
        <v>duplicated</v>
      </c>
      <c r="L608" s="2">
        <f>COUNTIF($D$2:$D608,D608)</f>
        <v>33</v>
      </c>
      <c r="M608" t="str">
        <f xml:space="preserve"> IF(COUNTIF($I$2:$I1376,I608)&gt;1,"duplicated","original")</f>
        <v>duplicated</v>
      </c>
      <c r="N608" s="2">
        <f>COUNTIF($I$2:$I608,I608)</f>
        <v>53</v>
      </c>
      <c r="O608" s="8">
        <f t="shared" si="36"/>
        <v>2.9973980914445737</v>
      </c>
      <c r="P608" s="8">
        <f t="shared" si="37"/>
        <v>3.3503682618851132</v>
      </c>
      <c r="Q608">
        <v>82</v>
      </c>
      <c r="R608" s="9">
        <f t="shared" si="39"/>
        <v>0.66576177948043336</v>
      </c>
      <c r="S608">
        <v>42</v>
      </c>
      <c r="T608" s="9">
        <f t="shared" si="38"/>
        <v>-2.4106777303069684</v>
      </c>
    </row>
    <row r="609" spans="1:20" x14ac:dyDescent="0.25">
      <c r="A609">
        <v>608</v>
      </c>
      <c r="B609">
        <v>1</v>
      </c>
      <c r="C609">
        <v>92</v>
      </c>
      <c r="D609">
        <v>62</v>
      </c>
      <c r="E609">
        <v>25</v>
      </c>
      <c r="F609">
        <v>41</v>
      </c>
      <c r="G609">
        <v>19.5</v>
      </c>
      <c r="H609">
        <v>0.48199999999999998</v>
      </c>
      <c r="I609">
        <v>25</v>
      </c>
      <c r="J609">
        <v>0</v>
      </c>
      <c r="K609" t="str">
        <f xml:space="preserve"> IF(COUNTIF($D$2:$D1363,$D$3)&gt;1,"duplicated","original")</f>
        <v>duplicated</v>
      </c>
      <c r="L609" s="2">
        <f>COUNTIF($D$2:$D609,D609)</f>
        <v>27</v>
      </c>
      <c r="M609" t="str">
        <f xml:space="preserve"> IF(COUNTIF($I$2:$I1377,I609)&gt;1,"duplicated","original")</f>
        <v>duplicated</v>
      </c>
      <c r="N609" s="2">
        <f>COUNTIF($I$2:$I609,I609)</f>
        <v>41</v>
      </c>
      <c r="O609" s="8">
        <f t="shared" si="36"/>
        <v>2.648698676974115</v>
      </c>
      <c r="P609" s="8">
        <f t="shared" si="37"/>
        <v>2.8679204121186967</v>
      </c>
      <c r="Q609">
        <v>82</v>
      </c>
      <c r="R609" s="9">
        <f t="shared" si="39"/>
        <v>0.66576177948043336</v>
      </c>
      <c r="S609">
        <v>42</v>
      </c>
      <c r="T609" s="9">
        <f t="shared" si="38"/>
        <v>-2.2568557548175985</v>
      </c>
    </row>
    <row r="610" spans="1:20" x14ac:dyDescent="0.25">
      <c r="A610">
        <v>609</v>
      </c>
      <c r="B610">
        <v>0</v>
      </c>
      <c r="C610">
        <v>152</v>
      </c>
      <c r="D610">
        <v>82</v>
      </c>
      <c r="E610">
        <v>39</v>
      </c>
      <c r="F610">
        <v>272</v>
      </c>
      <c r="G610">
        <v>41.5</v>
      </c>
      <c r="H610">
        <v>0.27</v>
      </c>
      <c r="I610">
        <v>27</v>
      </c>
      <c r="J610">
        <v>0</v>
      </c>
      <c r="K610" t="str">
        <f xml:space="preserve"> IF(COUNTIF($D$2:$D1378,D610)&gt;1,"duplicated","original")</f>
        <v>duplicated</v>
      </c>
      <c r="L610" s="2">
        <f>COUNTIF($D$2:$D610,D610)</f>
        <v>23</v>
      </c>
      <c r="M610" t="str">
        <f xml:space="preserve"> IF(COUNTIF($I$2:$I1378,I610)&gt;1,"duplicated","original")</f>
        <v>duplicated</v>
      </c>
      <c r="N610" s="2">
        <f>COUNTIF($I$2:$I610,I610)</f>
        <v>22</v>
      </c>
      <c r="O610" s="8">
        <f t="shared" si="36"/>
        <v>3.6033866457258754</v>
      </c>
      <c r="P610" s="8">
        <f t="shared" si="37"/>
        <v>2.4949884749727951</v>
      </c>
      <c r="Q610">
        <v>82</v>
      </c>
      <c r="R610" s="9">
        <f t="shared" si="39"/>
        <v>0.66576177948043336</v>
      </c>
      <c r="S610">
        <v>42</v>
      </c>
      <c r="T610" s="9">
        <f t="shared" si="38"/>
        <v>-2.1543077711580185</v>
      </c>
    </row>
    <row r="611" spans="1:20" x14ac:dyDescent="0.25">
      <c r="A611">
        <v>610</v>
      </c>
      <c r="B611">
        <v>1</v>
      </c>
      <c r="C611">
        <v>111</v>
      </c>
      <c r="D611">
        <v>62</v>
      </c>
      <c r="E611">
        <v>13</v>
      </c>
      <c r="F611">
        <v>182</v>
      </c>
      <c r="G611">
        <v>24</v>
      </c>
      <c r="H611">
        <v>0.13800000000000001</v>
      </c>
      <c r="I611">
        <v>23</v>
      </c>
      <c r="J611">
        <v>0</v>
      </c>
      <c r="K611" t="str">
        <f xml:space="preserve"> IF(COUNTIF($D$2:$D1379,D611)&gt;1,"duplicated","original")</f>
        <v>duplicated</v>
      </c>
      <c r="L611" s="2">
        <f>COUNTIF($D$2:$D611,D611)</f>
        <v>28</v>
      </c>
      <c r="M611" t="str">
        <f xml:space="preserve"> IF(COUNTIF($I$2:$I1365,I611)&gt;1,"duplicated","original")</f>
        <v>duplicated</v>
      </c>
      <c r="N611" s="2">
        <f>COUNTIF($I$2:$I611,I611)</f>
        <v>28</v>
      </c>
      <c r="O611" s="8">
        <f t="shared" si="36"/>
        <v>2.648698676974115</v>
      </c>
      <c r="P611" s="8">
        <f t="shared" si="37"/>
        <v>3.1976503076864229</v>
      </c>
      <c r="Q611">
        <v>82</v>
      </c>
      <c r="R611" s="9">
        <f t="shared" si="39"/>
        <v>0.66576177948043336</v>
      </c>
      <c r="S611">
        <v>42</v>
      </c>
      <c r="T611" s="9">
        <f t="shared" si="38"/>
        <v>-2.3594037384771784</v>
      </c>
    </row>
    <row r="612" spans="1:20" x14ac:dyDescent="0.25">
      <c r="A612">
        <v>611</v>
      </c>
      <c r="B612">
        <v>3</v>
      </c>
      <c r="C612">
        <v>106</v>
      </c>
      <c r="D612">
        <v>54</v>
      </c>
      <c r="E612">
        <v>21</v>
      </c>
      <c r="F612">
        <v>158</v>
      </c>
      <c r="G612">
        <v>30.9</v>
      </c>
      <c r="H612">
        <v>0.29199999999999998</v>
      </c>
      <c r="I612">
        <v>24</v>
      </c>
      <c r="J612">
        <v>0</v>
      </c>
      <c r="K612" t="str">
        <f xml:space="preserve"> IF(COUNTIF($D$2:$D1366,$D$3)&gt;1,"duplicated","original")</f>
        <v>duplicated</v>
      </c>
      <c r="L612" s="2">
        <f>COUNTIF($D$2:$D612,D612)</f>
        <v>9</v>
      </c>
      <c r="M612" t="str">
        <f xml:space="preserve"> IF(COUNTIF($I$2:$I1380,I612)&gt;1,"duplicated","original")</f>
        <v>duplicated</v>
      </c>
      <c r="N612" s="2">
        <f>COUNTIF($I$2:$I612,I612)</f>
        <v>39</v>
      </c>
      <c r="O612" s="8">
        <f t="shared" si="36"/>
        <v>3.8749973782448452</v>
      </c>
      <c r="P612" s="8">
        <f t="shared" si="37"/>
        <v>3.0372631578852487</v>
      </c>
      <c r="Q612">
        <v>82</v>
      </c>
      <c r="R612" s="9">
        <f t="shared" si="39"/>
        <v>0.66576177948043336</v>
      </c>
      <c r="S612">
        <v>42</v>
      </c>
      <c r="T612" s="9">
        <f t="shared" si="38"/>
        <v>-2.3081297466473885</v>
      </c>
    </row>
    <row r="613" spans="1:20" x14ac:dyDescent="0.25">
      <c r="A613">
        <v>612</v>
      </c>
      <c r="B613">
        <v>3</v>
      </c>
      <c r="C613">
        <v>174</v>
      </c>
      <c r="D613">
        <v>58</v>
      </c>
      <c r="E613">
        <v>22</v>
      </c>
      <c r="F613">
        <v>194</v>
      </c>
      <c r="G613">
        <v>32.9</v>
      </c>
      <c r="H613">
        <v>0.59299999999999997</v>
      </c>
      <c r="I613">
        <v>36</v>
      </c>
      <c r="J613">
        <v>1</v>
      </c>
      <c r="K613" t="str">
        <f xml:space="preserve"> IF(COUNTIF($D$2:$D1381,D613)&gt;1,"duplicated","original")</f>
        <v>duplicated</v>
      </c>
      <c r="L613" s="2">
        <f>COUNTIF($D$2:$D613,D613)</f>
        <v>14</v>
      </c>
      <c r="M613" t="str">
        <f xml:space="preserve"> IF(COUNTIF($I$2:$I1381,I613)&gt;1,"duplicated","original")</f>
        <v>duplicated</v>
      </c>
      <c r="N613" s="2">
        <f>COUNTIF($I$2:$I613,I613)</f>
        <v>15</v>
      </c>
      <c r="O613" s="8">
        <f t="shared" si="36"/>
        <v>3.3189764508662045</v>
      </c>
      <c r="P613" s="8">
        <f t="shared" si="37"/>
        <v>1.6658428826731906</v>
      </c>
      <c r="Q613">
        <v>82</v>
      </c>
      <c r="R613" s="9">
        <f t="shared" si="39"/>
        <v>0.66576177948043336</v>
      </c>
      <c r="S613">
        <v>42</v>
      </c>
      <c r="T613" s="9">
        <f t="shared" si="38"/>
        <v>-1.6928418446899081</v>
      </c>
    </row>
    <row r="614" spans="1:20" x14ac:dyDescent="0.25">
      <c r="A614">
        <v>613</v>
      </c>
      <c r="B614">
        <v>7</v>
      </c>
      <c r="C614">
        <v>168</v>
      </c>
      <c r="D614">
        <v>88</v>
      </c>
      <c r="E614">
        <v>42</v>
      </c>
      <c r="F614">
        <v>321</v>
      </c>
      <c r="G614">
        <v>38.200000000000003</v>
      </c>
      <c r="H614">
        <v>0.78700000000000003</v>
      </c>
      <c r="I614">
        <v>40</v>
      </c>
      <c r="J614">
        <v>1</v>
      </c>
      <c r="K614" t="str">
        <f xml:space="preserve"> IF(COUNTIF($D$2:$D1382,D614)&gt;1,"duplicated","original")</f>
        <v>duplicated</v>
      </c>
      <c r="L614" s="2">
        <f>COUNTIF($D$2:$D614,D614)</f>
        <v>17</v>
      </c>
      <c r="M614" t="str">
        <f xml:space="preserve"> IF(COUNTIF($I$2:$I1382,I614)&gt;1,"duplicated","original")</f>
        <v>duplicated</v>
      </c>
      <c r="N614" s="2">
        <f>COUNTIF($I$2:$I614,I614)</f>
        <v>9</v>
      </c>
      <c r="O614" s="8">
        <f t="shared" si="36"/>
        <v>4.3571085961444176</v>
      </c>
      <c r="P614" s="8">
        <f t="shared" si="37"/>
        <v>2.6028892619074147</v>
      </c>
      <c r="Q614">
        <v>82</v>
      </c>
      <c r="R614" s="9">
        <f t="shared" si="39"/>
        <v>0.66576177948043336</v>
      </c>
      <c r="S614">
        <v>42</v>
      </c>
      <c r="T614" s="9">
        <f t="shared" si="38"/>
        <v>-1.4877458773707479</v>
      </c>
    </row>
    <row r="615" spans="1:20" x14ac:dyDescent="0.25">
      <c r="A615">
        <v>614</v>
      </c>
      <c r="B615">
        <v>6</v>
      </c>
      <c r="C615">
        <v>105</v>
      </c>
      <c r="D615">
        <v>80</v>
      </c>
      <c r="E615">
        <v>28</v>
      </c>
      <c r="F615">
        <v>0</v>
      </c>
      <c r="G615">
        <v>32.5</v>
      </c>
      <c r="H615">
        <v>0.878</v>
      </c>
      <c r="I615">
        <v>26</v>
      </c>
      <c r="J615">
        <v>0</v>
      </c>
      <c r="K615" t="str">
        <f xml:space="preserve"> IF(COUNTIF($D$2:$D1369,$D$3)&gt;1,"duplicated","original")</f>
        <v>duplicated</v>
      </c>
      <c r="L615" s="2">
        <f>COUNTIF($D$2:$D615,D615)</f>
        <v>31</v>
      </c>
      <c r="M615" t="str">
        <f xml:space="preserve"> IF(COUNTIF($I$2:$I1369,I615)&gt;1,"duplicated","original")</f>
        <v>duplicated</v>
      </c>
      <c r="N615" s="2">
        <f>COUNTIF($I$2:$I615,I615)</f>
        <v>27</v>
      </c>
      <c r="O615" s="8">
        <f t="shared" si="36"/>
        <v>3.3142714612106796</v>
      </c>
      <c r="P615" s="8">
        <f t="shared" si="37"/>
        <v>2.6879299637912952</v>
      </c>
      <c r="Q615">
        <v>82</v>
      </c>
      <c r="R615" s="9">
        <f t="shared" si="39"/>
        <v>0.66576177948043336</v>
      </c>
      <c r="S615">
        <v>42</v>
      </c>
      <c r="T615" s="9">
        <f t="shared" si="38"/>
        <v>-2.2055817629878085</v>
      </c>
    </row>
    <row r="616" spans="1:20" x14ac:dyDescent="0.25">
      <c r="A616">
        <v>615</v>
      </c>
      <c r="B616">
        <v>11</v>
      </c>
      <c r="C616">
        <v>138</v>
      </c>
      <c r="D616">
        <v>74</v>
      </c>
      <c r="E616">
        <v>26</v>
      </c>
      <c r="F616">
        <v>144</v>
      </c>
      <c r="G616">
        <v>36.1</v>
      </c>
      <c r="H616">
        <v>0.55700000000000005</v>
      </c>
      <c r="I616">
        <v>50</v>
      </c>
      <c r="J616">
        <v>1</v>
      </c>
      <c r="K616" t="str">
        <f xml:space="preserve"> IF(COUNTIF($D$2:$D1384,D616)&gt;1,"duplicated","original")</f>
        <v>duplicated</v>
      </c>
      <c r="L616" s="2">
        <f>COUNTIF($D$2:$D616,D616)</f>
        <v>40</v>
      </c>
      <c r="M616" t="str">
        <f xml:space="preserve"> IF(COUNTIF($I$2:$I1384,I616)&gt;1,"duplicated","original")</f>
        <v>duplicated</v>
      </c>
      <c r="N616" s="2">
        <f>COUNTIF($I$2:$I616,I616)</f>
        <v>5</v>
      </c>
      <c r="O616" s="8">
        <f t="shared" si="36"/>
        <v>2.2325759379236296</v>
      </c>
      <c r="P616" s="8">
        <f t="shared" si="37"/>
        <v>4.095733451990367</v>
      </c>
      <c r="Q616">
        <v>82</v>
      </c>
      <c r="R616" s="9">
        <f t="shared" si="39"/>
        <v>0.66576177948043336</v>
      </c>
      <c r="S616">
        <v>42</v>
      </c>
      <c r="T616" s="9">
        <f t="shared" si="38"/>
        <v>-0.97500595907284759</v>
      </c>
    </row>
    <row r="617" spans="1:20" x14ac:dyDescent="0.25">
      <c r="A617">
        <v>616</v>
      </c>
      <c r="B617">
        <v>3</v>
      </c>
      <c r="C617">
        <v>106</v>
      </c>
      <c r="D617">
        <v>72</v>
      </c>
      <c r="E617">
        <v>0</v>
      </c>
      <c r="F617">
        <v>0</v>
      </c>
      <c r="G617">
        <v>25.8</v>
      </c>
      <c r="H617">
        <v>0.20699999999999999</v>
      </c>
      <c r="I617">
        <v>27</v>
      </c>
      <c r="J617">
        <v>0</v>
      </c>
      <c r="K617" t="str">
        <f xml:space="preserve"> IF(COUNTIF($D$2:$D1385,D617)&gt;1,"duplicated","original")</f>
        <v>duplicated</v>
      </c>
      <c r="L617" s="2">
        <f>COUNTIF($D$2:$D617,D617)</f>
        <v>38</v>
      </c>
      <c r="M617" t="str">
        <f xml:space="preserve"> IF(COUNTIF($I$2:$I1385,I617)&gt;1,"duplicated","original")</f>
        <v>duplicated</v>
      </c>
      <c r="N617" s="2">
        <f>COUNTIF($I$2:$I617,I617)</f>
        <v>23</v>
      </c>
      <c r="O617" s="8">
        <f t="shared" si="36"/>
        <v>1.7275402509335562</v>
      </c>
      <c r="P617" s="8">
        <f t="shared" si="37"/>
        <v>2.4949884749727951</v>
      </c>
      <c r="Q617">
        <v>82</v>
      </c>
      <c r="R617" s="9">
        <f t="shared" si="39"/>
        <v>0.66576177948043336</v>
      </c>
      <c r="S617">
        <v>43</v>
      </c>
      <c r="T617" s="9">
        <f t="shared" si="38"/>
        <v>-2.1543077711580185</v>
      </c>
    </row>
    <row r="618" spans="1:20" x14ac:dyDescent="0.25">
      <c r="A618">
        <v>617</v>
      </c>
      <c r="B618">
        <v>6</v>
      </c>
      <c r="C618">
        <v>117</v>
      </c>
      <c r="D618">
        <v>96</v>
      </c>
      <c r="E618">
        <v>0</v>
      </c>
      <c r="F618">
        <v>0</v>
      </c>
      <c r="G618">
        <v>28.7</v>
      </c>
      <c r="H618">
        <v>0.157</v>
      </c>
      <c r="I618">
        <v>30</v>
      </c>
      <c r="J618">
        <v>0</v>
      </c>
      <c r="K618" t="str">
        <f xml:space="preserve"> IF(COUNTIF($D$2:$D1372,$D$3)&gt;1,"duplicated","original")</f>
        <v>duplicated</v>
      </c>
      <c r="L618" s="2">
        <f>COUNTIF($D$2:$D618,D618)</f>
        <v>4</v>
      </c>
      <c r="M618" t="str">
        <f xml:space="preserve"> IF(COUNTIF($I$2:$I1386,I618)&gt;1,"duplicated","original")</f>
        <v>duplicated</v>
      </c>
      <c r="N618" s="2">
        <f>COUNTIF($I$2:$I618,I618)</f>
        <v>18</v>
      </c>
      <c r="O618" s="8">
        <f t="shared" si="36"/>
        <v>5.194650644518414</v>
      </c>
      <c r="P618" s="8">
        <f t="shared" si="37"/>
        <v>1.7958194481202931</v>
      </c>
      <c r="Q618">
        <v>82</v>
      </c>
      <c r="R618" s="9">
        <f t="shared" si="39"/>
        <v>0.66576177948043336</v>
      </c>
      <c r="S618">
        <v>43</v>
      </c>
      <c r="T618" s="9">
        <f t="shared" si="38"/>
        <v>-2.0004857956686481</v>
      </c>
    </row>
    <row r="619" spans="1:20" x14ac:dyDescent="0.25">
      <c r="A619">
        <v>618</v>
      </c>
      <c r="B619">
        <v>2</v>
      </c>
      <c r="C619">
        <v>68</v>
      </c>
      <c r="D619">
        <v>62</v>
      </c>
      <c r="E619">
        <v>13</v>
      </c>
      <c r="F619">
        <v>15</v>
      </c>
      <c r="G619">
        <v>20.100000000000001</v>
      </c>
      <c r="H619">
        <v>0.25700000000000001</v>
      </c>
      <c r="I619">
        <v>23</v>
      </c>
      <c r="J619">
        <v>0</v>
      </c>
      <c r="K619" t="str">
        <f xml:space="preserve"> IF(COUNTIF($D$2:$D1387,D619)&gt;1,"duplicated","original")</f>
        <v>duplicated</v>
      </c>
      <c r="L619" s="2">
        <f>COUNTIF($D$2:$D619,D619)</f>
        <v>29</v>
      </c>
      <c r="M619" t="str">
        <f xml:space="preserve"> IF(COUNTIF($I$2:$I1373,I619)&gt;1,"duplicated","original")</f>
        <v>duplicated</v>
      </c>
      <c r="N619" s="2">
        <f>COUNTIF($I$2:$I619,I619)</f>
        <v>29</v>
      </c>
      <c r="O619" s="8">
        <f t="shared" si="36"/>
        <v>2.648698676974115</v>
      </c>
      <c r="P619" s="8">
        <f t="shared" si="37"/>
        <v>3.1976503076864229</v>
      </c>
      <c r="Q619">
        <v>82</v>
      </c>
      <c r="R619" s="9">
        <f t="shared" si="39"/>
        <v>0.66576177948043336</v>
      </c>
      <c r="S619">
        <v>43</v>
      </c>
      <c r="T619" s="9">
        <f t="shared" si="38"/>
        <v>-2.3594037384771784</v>
      </c>
    </row>
    <row r="620" spans="1:20" x14ac:dyDescent="0.25">
      <c r="A620">
        <v>619</v>
      </c>
      <c r="B620">
        <v>9</v>
      </c>
      <c r="C620">
        <v>112</v>
      </c>
      <c r="D620">
        <v>82</v>
      </c>
      <c r="E620">
        <v>24</v>
      </c>
      <c r="F620">
        <v>0</v>
      </c>
      <c r="G620">
        <v>28.2</v>
      </c>
      <c r="H620">
        <v>1.282</v>
      </c>
      <c r="I620">
        <v>50</v>
      </c>
      <c r="J620">
        <v>1</v>
      </c>
      <c r="K620" t="str">
        <f xml:space="preserve"> IF(COUNTIF($D$2:$D1388,D620)&gt;1,"duplicated","original")</f>
        <v>duplicated</v>
      </c>
      <c r="L620" s="2">
        <f>COUNTIF($D$2:$D620,D620)</f>
        <v>24</v>
      </c>
      <c r="M620" t="str">
        <f xml:space="preserve"> IF(COUNTIF($I$2:$I1388,I620)&gt;1,"duplicated","original")</f>
        <v>duplicated</v>
      </c>
      <c r="N620" s="2">
        <f>COUNTIF($I$2:$I620,I620)</f>
        <v>6</v>
      </c>
      <c r="O620" s="8">
        <f t="shared" si="36"/>
        <v>3.6033866457258754</v>
      </c>
      <c r="P620" s="8">
        <f t="shared" si="37"/>
        <v>4.095733451990367</v>
      </c>
      <c r="Q620">
        <v>82</v>
      </c>
      <c r="R620" s="9">
        <f t="shared" si="39"/>
        <v>0.66576177948043336</v>
      </c>
      <c r="S620">
        <v>43</v>
      </c>
      <c r="T620" s="9">
        <f t="shared" si="38"/>
        <v>-0.97500595907284759</v>
      </c>
    </row>
    <row r="621" spans="1:20" x14ac:dyDescent="0.25">
      <c r="A621">
        <v>620</v>
      </c>
      <c r="B621">
        <v>0</v>
      </c>
      <c r="C621">
        <v>119</v>
      </c>
      <c r="D621">
        <v>0</v>
      </c>
      <c r="E621">
        <v>0</v>
      </c>
      <c r="F621">
        <v>0</v>
      </c>
      <c r="G621">
        <v>32.4</v>
      </c>
      <c r="H621">
        <v>0.14099999999999999</v>
      </c>
      <c r="I621">
        <v>24</v>
      </c>
      <c r="J621">
        <v>1</v>
      </c>
      <c r="K621" t="str">
        <f xml:space="preserve"> IF(COUNTIF($D$2:$D1375,$D$3)&gt;1,"duplicated","original")</f>
        <v>duplicated</v>
      </c>
      <c r="L621" s="2">
        <f>COUNTIF($D$2:$D621,D621)</f>
        <v>31</v>
      </c>
      <c r="M621" t="str">
        <f xml:space="preserve"> IF(COUNTIF($I$2:$I1389,I621)&gt;1,"duplicated","original")</f>
        <v>duplicated</v>
      </c>
      <c r="N621" s="2">
        <f>COUNTIF($I$2:$I621,I621)</f>
        <v>40</v>
      </c>
      <c r="O621" s="8">
        <f t="shared" si="36"/>
        <v>8.3075631012592623</v>
      </c>
      <c r="P621" s="8">
        <f t="shared" si="37"/>
        <v>3.0372631578852487</v>
      </c>
      <c r="Q621">
        <v>82</v>
      </c>
      <c r="R621" s="9">
        <f t="shared" si="39"/>
        <v>0.66576177948043336</v>
      </c>
      <c r="S621">
        <v>43</v>
      </c>
      <c r="T621" s="9">
        <f t="shared" si="38"/>
        <v>-2.3081297466473885</v>
      </c>
    </row>
    <row r="622" spans="1:20" x14ac:dyDescent="0.25">
      <c r="A622">
        <v>621</v>
      </c>
      <c r="B622">
        <v>2</v>
      </c>
      <c r="C622">
        <v>112</v>
      </c>
      <c r="D622">
        <v>86</v>
      </c>
      <c r="E622">
        <v>42</v>
      </c>
      <c r="F622">
        <v>160</v>
      </c>
      <c r="G622">
        <v>38.4</v>
      </c>
      <c r="H622">
        <v>0.246</v>
      </c>
      <c r="I622">
        <v>28</v>
      </c>
      <c r="J622">
        <v>0</v>
      </c>
      <c r="K622" t="str">
        <f xml:space="preserve"> IF(COUNTIF($D$2:$D1390,D622)&gt;1,"duplicated","original")</f>
        <v>duplicated</v>
      </c>
      <c r="L622" s="2">
        <f>COUNTIF($D$2:$D622,D622)</f>
        <v>15</v>
      </c>
      <c r="M622" t="str">
        <f xml:space="preserve"> IF(COUNTIF($I$2:$I1390,I622)&gt;1,"duplicated","original")</f>
        <v>duplicated</v>
      </c>
      <c r="N622" s="2">
        <f>COUNTIF($I$2:$I622,I622)</f>
        <v>28</v>
      </c>
      <c r="O622" s="8">
        <f t="shared" si="36"/>
        <v>4.121212845582666</v>
      </c>
      <c r="P622" s="8">
        <f t="shared" si="37"/>
        <v>2.2858187789601945</v>
      </c>
      <c r="Q622">
        <v>82</v>
      </c>
      <c r="R622" s="9">
        <f t="shared" si="39"/>
        <v>0.66576177948043336</v>
      </c>
      <c r="S622">
        <v>43</v>
      </c>
      <c r="T622" s="9">
        <f t="shared" si="38"/>
        <v>-2.1030337793282281</v>
      </c>
    </row>
    <row r="623" spans="1:20" x14ac:dyDescent="0.25">
      <c r="A623">
        <v>622</v>
      </c>
      <c r="B623">
        <v>2</v>
      </c>
      <c r="C623">
        <v>92</v>
      </c>
      <c r="D623">
        <v>76</v>
      </c>
      <c r="E623">
        <v>20</v>
      </c>
      <c r="F623">
        <v>0</v>
      </c>
      <c r="G623">
        <v>24.2</v>
      </c>
      <c r="H623">
        <v>1.698</v>
      </c>
      <c r="I623">
        <v>28</v>
      </c>
      <c r="J623">
        <v>0</v>
      </c>
      <c r="K623" t="str">
        <f xml:space="preserve"> IF(COUNTIF($D$2:$D1391,D623)&gt;1,"duplicated","original")</f>
        <v>duplicated</v>
      </c>
      <c r="L623" s="2">
        <f>COUNTIF($D$2:$D623,D623)</f>
        <v>30</v>
      </c>
      <c r="M623" t="str">
        <f xml:space="preserve"> IF(COUNTIF($I$2:$I1377,I623)&gt;1,"duplicated","original")</f>
        <v>duplicated</v>
      </c>
      <c r="N623" s="2">
        <f>COUNTIF($I$2:$I623,I623)</f>
        <v>29</v>
      </c>
      <c r="O623" s="8">
        <f t="shared" si="36"/>
        <v>2.642800658126824</v>
      </c>
      <c r="P623" s="8">
        <f t="shared" si="37"/>
        <v>2.2858187789601945</v>
      </c>
      <c r="Q623">
        <v>82</v>
      </c>
      <c r="R623" s="9">
        <f t="shared" si="39"/>
        <v>0.66576177948043336</v>
      </c>
      <c r="S623">
        <v>43</v>
      </c>
      <c r="T623" s="9">
        <f t="shared" si="38"/>
        <v>-2.1030337793282281</v>
      </c>
    </row>
    <row r="624" spans="1:20" x14ac:dyDescent="0.25">
      <c r="A624">
        <v>623</v>
      </c>
      <c r="B624">
        <v>6</v>
      </c>
      <c r="C624">
        <v>183</v>
      </c>
      <c r="D624">
        <v>94</v>
      </c>
      <c r="E624">
        <v>0</v>
      </c>
      <c r="F624">
        <v>0</v>
      </c>
      <c r="G624">
        <v>40.799999999999997</v>
      </c>
      <c r="H624">
        <v>1.4610000000000001</v>
      </c>
      <c r="I624">
        <v>45</v>
      </c>
      <c r="J624">
        <v>0</v>
      </c>
      <c r="K624" t="str">
        <f xml:space="preserve"> IF(COUNTIF($D$2:$D1378,$D$3)&gt;1,"duplicated","original")</f>
        <v>duplicated</v>
      </c>
      <c r="L624" s="2">
        <f>COUNTIF($D$2:$D624,D624)</f>
        <v>3</v>
      </c>
      <c r="M624" t="str">
        <f xml:space="preserve"> IF(COUNTIF($I$2:$I1392,I624)&gt;1,"duplicated","original")</f>
        <v>duplicated</v>
      </c>
      <c r="N624" s="2">
        <f>COUNTIF($I$2:$I624,I624)</f>
        <v>9</v>
      </c>
      <c r="O624" s="8">
        <f t="shared" si="36"/>
        <v>4.9984392882774493</v>
      </c>
      <c r="P624" s="8">
        <f t="shared" si="37"/>
        <v>3.4314767243495803</v>
      </c>
      <c r="Q624">
        <v>82</v>
      </c>
      <c r="R624" s="9">
        <f t="shared" si="39"/>
        <v>0.66576177948043336</v>
      </c>
      <c r="S624">
        <v>43</v>
      </c>
      <c r="T624" s="9">
        <f t="shared" si="38"/>
        <v>-1.2313759182217978</v>
      </c>
    </row>
    <row r="625" spans="1:20" x14ac:dyDescent="0.25">
      <c r="A625">
        <v>624</v>
      </c>
      <c r="B625">
        <v>0</v>
      </c>
      <c r="C625">
        <v>94</v>
      </c>
      <c r="D625">
        <v>70</v>
      </c>
      <c r="E625">
        <v>27</v>
      </c>
      <c r="F625">
        <v>115</v>
      </c>
      <c r="G625">
        <v>43.5</v>
      </c>
      <c r="H625">
        <v>0.34699999999999998</v>
      </c>
      <c r="I625">
        <v>21</v>
      </c>
      <c r="J625">
        <v>0</v>
      </c>
      <c r="K625" t="str">
        <f xml:space="preserve"> IF(COUNTIF($D$2:$D1393,D625)&gt;1,"duplicated","original")</f>
        <v>duplicated</v>
      </c>
      <c r="L625" s="2">
        <f>COUNTIF($D$2:$D625,D625)</f>
        <v>47</v>
      </c>
      <c r="M625" t="str">
        <f xml:space="preserve"> IF(COUNTIF($I$2:$I1393,I625)&gt;1,"duplicated","original")</f>
        <v>duplicated</v>
      </c>
      <c r="N625" s="2">
        <f>COUNTIF($I$2:$I625,I625)</f>
        <v>54</v>
      </c>
      <c r="O625" s="8">
        <f t="shared" si="36"/>
        <v>0.99216698120607405</v>
      </c>
      <c r="P625" s="8">
        <f t="shared" si="37"/>
        <v>3.4964220984096119</v>
      </c>
      <c r="Q625">
        <v>82</v>
      </c>
      <c r="R625" s="9">
        <f t="shared" si="39"/>
        <v>0.66576177948043336</v>
      </c>
      <c r="S625">
        <v>43</v>
      </c>
      <c r="T625" s="9">
        <f t="shared" si="38"/>
        <v>-2.4619517221367584</v>
      </c>
    </row>
    <row r="626" spans="1:20" x14ac:dyDescent="0.25">
      <c r="A626">
        <v>625</v>
      </c>
      <c r="B626">
        <v>2</v>
      </c>
      <c r="C626">
        <v>108</v>
      </c>
      <c r="D626">
        <v>64</v>
      </c>
      <c r="E626">
        <v>0</v>
      </c>
      <c r="F626">
        <v>0</v>
      </c>
      <c r="G626">
        <v>30.8</v>
      </c>
      <c r="H626">
        <v>0.158</v>
      </c>
      <c r="I626">
        <v>21</v>
      </c>
      <c r="J626">
        <v>0</v>
      </c>
      <c r="K626" t="str">
        <f xml:space="preserve"> IF(COUNTIF($D$2:$D1394,D626)&gt;1,"duplicated","original")</f>
        <v>duplicated</v>
      </c>
      <c r="L626" s="2">
        <f>COUNTIF($D$2:$D626,D626)</f>
        <v>38</v>
      </c>
      <c r="M626" t="str">
        <f xml:space="preserve"> IF(COUNTIF($I$2:$I1394,I626)&gt;1,"duplicated","original")</f>
        <v>duplicated</v>
      </c>
      <c r="N626" s="2">
        <f>COUNTIF($I$2:$I626,I626)</f>
        <v>55</v>
      </c>
      <c r="O626" s="8">
        <f t="shared" si="36"/>
        <v>2.2395545720978594</v>
      </c>
      <c r="P626" s="8">
        <f t="shared" si="37"/>
        <v>3.4964220984096119</v>
      </c>
      <c r="Q626">
        <v>82</v>
      </c>
      <c r="R626" s="9">
        <f t="shared" si="39"/>
        <v>0.66576177948043336</v>
      </c>
      <c r="S626">
        <v>43</v>
      </c>
      <c r="T626" s="9">
        <f t="shared" si="38"/>
        <v>-2.4619517221367584</v>
      </c>
    </row>
    <row r="627" spans="1:20" x14ac:dyDescent="0.25">
      <c r="A627">
        <v>626</v>
      </c>
      <c r="B627">
        <v>4</v>
      </c>
      <c r="C627">
        <v>90</v>
      </c>
      <c r="D627">
        <v>88</v>
      </c>
      <c r="E627">
        <v>47</v>
      </c>
      <c r="F627">
        <v>54</v>
      </c>
      <c r="G627">
        <v>37.700000000000003</v>
      </c>
      <c r="H627">
        <v>0.36199999999999999</v>
      </c>
      <c r="I627">
        <v>29</v>
      </c>
      <c r="J627">
        <v>0</v>
      </c>
      <c r="K627" t="str">
        <f xml:space="preserve"> IF(COUNTIF($D$2:$D1381,$D$3)&gt;1,"duplicated","original")</f>
        <v>duplicated</v>
      </c>
      <c r="L627" s="2">
        <f>COUNTIF($D$2:$D627,D627)</f>
        <v>18</v>
      </c>
      <c r="M627" t="str">
        <f xml:space="preserve"> IF(COUNTIF($I$2:$I1381,I627)&gt;1,"duplicated","original")</f>
        <v>duplicated</v>
      </c>
      <c r="N627" s="2">
        <f>COUNTIF($I$2:$I627,I627)</f>
        <v>28</v>
      </c>
      <c r="O627" s="8">
        <f t="shared" si="36"/>
        <v>4.3571085961444176</v>
      </c>
      <c r="P627" s="8">
        <f t="shared" si="37"/>
        <v>2.0554725710276638</v>
      </c>
      <c r="Q627">
        <v>82</v>
      </c>
      <c r="R627" s="9">
        <f t="shared" si="39"/>
        <v>0.66576177948043336</v>
      </c>
      <c r="S627">
        <v>43</v>
      </c>
      <c r="T627" s="9">
        <f t="shared" si="38"/>
        <v>-2.0517597874984381</v>
      </c>
    </row>
    <row r="628" spans="1:20" x14ac:dyDescent="0.25">
      <c r="A628">
        <v>627</v>
      </c>
      <c r="B628">
        <v>0</v>
      </c>
      <c r="C628">
        <v>125</v>
      </c>
      <c r="D628">
        <v>68</v>
      </c>
      <c r="E628">
        <v>0</v>
      </c>
      <c r="F628">
        <v>0</v>
      </c>
      <c r="G628">
        <v>24.7</v>
      </c>
      <c r="H628">
        <v>0.20599999999999999</v>
      </c>
      <c r="I628">
        <v>21</v>
      </c>
      <c r="J628">
        <v>0</v>
      </c>
      <c r="K628" t="str">
        <f xml:space="preserve"> IF(COUNTIF($D$2:$D1396,D628)&gt;1,"duplicated","original")</f>
        <v>duplicated</v>
      </c>
      <c r="L628" s="2">
        <f>COUNTIF($D$2:$D628,D628)</f>
        <v>42</v>
      </c>
      <c r="M628" t="str">
        <f xml:space="preserve"> IF(COUNTIF($I$2:$I1396,I628)&gt;1,"duplicated","original")</f>
        <v>duplicated</v>
      </c>
      <c r="N628" s="2">
        <f>COUNTIF($I$2:$I628,I628)</f>
        <v>56</v>
      </c>
      <c r="O628" s="8">
        <f t="shared" si="36"/>
        <v>1.0077721376404618</v>
      </c>
      <c r="P628" s="8">
        <f t="shared" si="37"/>
        <v>3.4964220984096119</v>
      </c>
      <c r="Q628">
        <v>82</v>
      </c>
      <c r="R628" s="9">
        <f t="shared" si="39"/>
        <v>0.66576177948043336</v>
      </c>
      <c r="S628">
        <v>43</v>
      </c>
      <c r="T628" s="9">
        <f t="shared" si="38"/>
        <v>-2.4619517221367584</v>
      </c>
    </row>
    <row r="629" spans="1:20" x14ac:dyDescent="0.25">
      <c r="A629">
        <v>628</v>
      </c>
      <c r="B629">
        <v>0</v>
      </c>
      <c r="C629">
        <v>132</v>
      </c>
      <c r="D629">
        <v>78</v>
      </c>
      <c r="E629">
        <v>0</v>
      </c>
      <c r="F629">
        <v>0</v>
      </c>
      <c r="G629">
        <v>32.4</v>
      </c>
      <c r="H629">
        <v>0.39300000000000002</v>
      </c>
      <c r="I629">
        <v>21</v>
      </c>
      <c r="J629">
        <v>0</v>
      </c>
      <c r="K629" t="str">
        <f xml:space="preserve"> IF(COUNTIF($D$2:$D1397,D629)&gt;1,"duplicated","original")</f>
        <v>duplicated</v>
      </c>
      <c r="L629" s="2">
        <f>COUNTIF($D$2:$D629,D629)</f>
        <v>34</v>
      </c>
      <c r="M629" t="str">
        <f xml:space="preserve"> IF(COUNTIF($I$2:$I1397,I629)&gt;1,"duplicated","original")</f>
        <v>duplicated</v>
      </c>
      <c r="N629" s="2">
        <f>COUNTIF($I$2:$I629,I629)</f>
        <v>57</v>
      </c>
      <c r="O629" s="8">
        <f t="shared" si="36"/>
        <v>2.9973980914445737</v>
      </c>
      <c r="P629" s="8">
        <f t="shared" si="37"/>
        <v>3.4964220984096119</v>
      </c>
      <c r="Q629">
        <v>82</v>
      </c>
      <c r="R629" s="9">
        <f t="shared" si="39"/>
        <v>0.66576177948043336</v>
      </c>
      <c r="S629">
        <v>43</v>
      </c>
      <c r="T629" s="9">
        <f t="shared" si="38"/>
        <v>-2.4619517221367584</v>
      </c>
    </row>
    <row r="630" spans="1:20" x14ac:dyDescent="0.25">
      <c r="A630">
        <v>629</v>
      </c>
      <c r="B630">
        <v>5</v>
      </c>
      <c r="C630">
        <v>128</v>
      </c>
      <c r="D630">
        <v>80</v>
      </c>
      <c r="E630">
        <v>0</v>
      </c>
      <c r="F630">
        <v>0</v>
      </c>
      <c r="G630">
        <v>34.6</v>
      </c>
      <c r="H630">
        <v>0.14399999999999999</v>
      </c>
      <c r="I630">
        <v>45</v>
      </c>
      <c r="J630">
        <v>0</v>
      </c>
      <c r="K630" t="str">
        <f xml:space="preserve"> IF(COUNTIF($D$2:$D1384,$D$3)&gt;1,"duplicated","original")</f>
        <v>duplicated</v>
      </c>
      <c r="L630" s="2">
        <f>COUNTIF($D$2:$D630,D630)</f>
        <v>32</v>
      </c>
      <c r="M630" t="str">
        <f xml:space="preserve"> IF(COUNTIF($I$2:$I1398,I630)&gt;1,"duplicated","original")</f>
        <v>duplicated</v>
      </c>
      <c r="N630" s="2">
        <f>COUNTIF($I$2:$I630,I630)</f>
        <v>10</v>
      </c>
      <c r="O630" s="8">
        <f t="shared" si="36"/>
        <v>3.3142714612106796</v>
      </c>
      <c r="P630" s="8">
        <f t="shared" si="37"/>
        <v>3.4314767243495803</v>
      </c>
      <c r="Q630">
        <v>82</v>
      </c>
      <c r="R630" s="9">
        <f t="shared" si="39"/>
        <v>0.66576177948043336</v>
      </c>
      <c r="S630">
        <v>44</v>
      </c>
      <c r="T630" s="9">
        <f t="shared" si="38"/>
        <v>-1.2313759182217978</v>
      </c>
    </row>
    <row r="631" spans="1:20" x14ac:dyDescent="0.25">
      <c r="A631">
        <v>630</v>
      </c>
      <c r="B631">
        <v>4</v>
      </c>
      <c r="C631">
        <v>94</v>
      </c>
      <c r="D631">
        <v>65</v>
      </c>
      <c r="E631">
        <v>22</v>
      </c>
      <c r="F631">
        <v>0</v>
      </c>
      <c r="G631">
        <v>24.7</v>
      </c>
      <c r="H631">
        <v>0.14799999999999999</v>
      </c>
      <c r="I631">
        <v>21</v>
      </c>
      <c r="J631">
        <v>0</v>
      </c>
      <c r="K631" t="str">
        <f xml:space="preserve"> IF(COUNTIF($D$2:$D1399,D631)&gt;1,"duplicated","original")</f>
        <v>duplicated</v>
      </c>
      <c r="L631" s="2">
        <f>COUNTIF($D$2:$D631,D631)</f>
        <v>7</v>
      </c>
      <c r="M631" t="str">
        <f xml:space="preserve"> IF(COUNTIF($I$2:$I1385,I631)&gt;1,"duplicated","original")</f>
        <v>duplicated</v>
      </c>
      <c r="N631" s="2">
        <f>COUNTIF($I$2:$I631,I631)</f>
        <v>58</v>
      </c>
      <c r="O631" s="8">
        <f t="shared" si="36"/>
        <v>2.0038973729720855</v>
      </c>
      <c r="P631" s="8">
        <f t="shared" si="37"/>
        <v>3.4964220984096119</v>
      </c>
      <c r="Q631">
        <v>82</v>
      </c>
      <c r="R631" s="9">
        <f t="shared" si="39"/>
        <v>0.66576177948043336</v>
      </c>
      <c r="S631">
        <v>44</v>
      </c>
      <c r="T631" s="9">
        <f t="shared" si="38"/>
        <v>-2.4619517221367584</v>
      </c>
    </row>
    <row r="632" spans="1:20" x14ac:dyDescent="0.25">
      <c r="A632">
        <v>631</v>
      </c>
      <c r="B632">
        <v>7</v>
      </c>
      <c r="C632">
        <v>114</v>
      </c>
      <c r="D632">
        <v>64</v>
      </c>
      <c r="E632">
        <v>0</v>
      </c>
      <c r="F632">
        <v>0</v>
      </c>
      <c r="G632">
        <v>27.4</v>
      </c>
      <c r="H632">
        <v>0.73199999999999998</v>
      </c>
      <c r="I632">
        <v>34</v>
      </c>
      <c r="J632">
        <v>1</v>
      </c>
      <c r="K632" t="str">
        <f xml:space="preserve"> IF(COUNTIF($D$2:$D1400,D632)&gt;1,"duplicated","original")</f>
        <v>duplicated</v>
      </c>
      <c r="L632" s="2">
        <f>COUNTIF($D$2:$D632,D632)</f>
        <v>39</v>
      </c>
      <c r="M632" t="str">
        <f xml:space="preserve"> IF(COUNTIF($I$2:$I1400,I632)&gt;1,"duplicated","original")</f>
        <v>duplicated</v>
      </c>
      <c r="N632" s="2">
        <f>COUNTIF($I$2:$I632,I632)</f>
        <v>10</v>
      </c>
      <c r="O632" s="8">
        <f t="shared" si="36"/>
        <v>2.2395545720978594</v>
      </c>
      <c r="P632" s="8">
        <f t="shared" si="37"/>
        <v>0.88035930718822164</v>
      </c>
      <c r="Q632">
        <v>82</v>
      </c>
      <c r="R632" s="9">
        <f t="shared" si="39"/>
        <v>0.66576177948043336</v>
      </c>
      <c r="S632">
        <v>44</v>
      </c>
      <c r="T632" s="9">
        <f t="shared" si="38"/>
        <v>-1.795389828349488</v>
      </c>
    </row>
    <row r="633" spans="1:20" x14ac:dyDescent="0.25">
      <c r="A633">
        <v>632</v>
      </c>
      <c r="B633">
        <v>0</v>
      </c>
      <c r="C633">
        <v>102</v>
      </c>
      <c r="D633">
        <v>78</v>
      </c>
      <c r="E633">
        <v>40</v>
      </c>
      <c r="F633">
        <v>90</v>
      </c>
      <c r="G633">
        <v>34.5</v>
      </c>
      <c r="H633">
        <v>0.23799999999999999</v>
      </c>
      <c r="I633">
        <v>24</v>
      </c>
      <c r="J633">
        <v>0</v>
      </c>
      <c r="K633" t="str">
        <f xml:space="preserve"> IF(COUNTIF($D$2:$D1387,$D$3)&gt;1,"duplicated","original")</f>
        <v>duplicated</v>
      </c>
      <c r="L633" s="2">
        <f>COUNTIF($D$2:$D633,D633)</f>
        <v>35</v>
      </c>
      <c r="M633" t="str">
        <f xml:space="preserve"> IF(COUNTIF($I$2:$I1401,I633)&gt;1,"duplicated","original")</f>
        <v>duplicated</v>
      </c>
      <c r="N633" s="2">
        <f>COUNTIF($I$2:$I633,I633)</f>
        <v>41</v>
      </c>
      <c r="O633" s="8">
        <f t="shared" si="36"/>
        <v>2.9973980914445737</v>
      </c>
      <c r="P633" s="8">
        <f t="shared" si="37"/>
        <v>3.0372631578852487</v>
      </c>
      <c r="Q633">
        <v>82</v>
      </c>
      <c r="R633" s="9">
        <f t="shared" si="39"/>
        <v>0.66576177948043336</v>
      </c>
      <c r="S633">
        <v>44</v>
      </c>
      <c r="T633" s="9">
        <f t="shared" si="38"/>
        <v>-2.3081297466473885</v>
      </c>
    </row>
    <row r="634" spans="1:20" x14ac:dyDescent="0.25">
      <c r="A634">
        <v>633</v>
      </c>
      <c r="B634">
        <v>2</v>
      </c>
      <c r="C634">
        <v>111</v>
      </c>
      <c r="D634">
        <v>60</v>
      </c>
      <c r="E634">
        <v>0</v>
      </c>
      <c r="F634">
        <v>0</v>
      </c>
      <c r="G634">
        <v>26.2</v>
      </c>
      <c r="H634">
        <v>0.34300000000000003</v>
      </c>
      <c r="I634">
        <v>23</v>
      </c>
      <c r="J634">
        <v>0</v>
      </c>
      <c r="K634" t="str">
        <f xml:space="preserve"> IF(COUNTIF($D$2:$D1402,D634)&gt;1,"duplicated","original")</f>
        <v>duplicated</v>
      </c>
      <c r="L634" s="2">
        <f>COUNTIF($D$2:$D634,D634)</f>
        <v>28</v>
      </c>
      <c r="M634" t="str">
        <f xml:space="preserve"> IF(COUNTIF($I$2:$I1402,I634)&gt;1,"duplicated","original")</f>
        <v>duplicated</v>
      </c>
      <c r="N634" s="2">
        <f>COUNTIF($I$2:$I634,I634)</f>
        <v>30</v>
      </c>
      <c r="O634" s="8">
        <f t="shared" si="36"/>
        <v>3.002599653867366</v>
      </c>
      <c r="P634" s="8">
        <f t="shared" si="37"/>
        <v>3.1976503076864229</v>
      </c>
      <c r="Q634">
        <v>82</v>
      </c>
      <c r="R634" s="9">
        <f t="shared" si="39"/>
        <v>0.66576177948043336</v>
      </c>
      <c r="S634">
        <v>44</v>
      </c>
      <c r="T634" s="9">
        <f t="shared" si="38"/>
        <v>-2.3594037384771784</v>
      </c>
    </row>
    <row r="635" spans="1:20" x14ac:dyDescent="0.25">
      <c r="A635">
        <v>634</v>
      </c>
      <c r="B635">
        <v>1</v>
      </c>
      <c r="C635">
        <v>128</v>
      </c>
      <c r="D635">
        <v>82</v>
      </c>
      <c r="E635">
        <v>17</v>
      </c>
      <c r="F635">
        <v>183</v>
      </c>
      <c r="G635">
        <v>27.5</v>
      </c>
      <c r="H635">
        <v>0.115</v>
      </c>
      <c r="I635">
        <v>22</v>
      </c>
      <c r="J635">
        <v>0</v>
      </c>
      <c r="K635" t="str">
        <f xml:space="preserve"> IF(COUNTIF($D$2:$D1403,D635)&gt;1,"duplicated","original")</f>
        <v>duplicated</v>
      </c>
      <c r="L635" s="2">
        <f>COUNTIF($D$2:$D635,D635)</f>
        <v>25</v>
      </c>
      <c r="M635" t="str">
        <f xml:space="preserve"> IF(COUNTIF($I$2:$I1389,I635)&gt;1,"duplicated","original")</f>
        <v>duplicated</v>
      </c>
      <c r="N635" s="2">
        <f>COUNTIF($I$2:$I635,I635)</f>
        <v>54</v>
      </c>
      <c r="O635" s="8">
        <f t="shared" si="36"/>
        <v>3.6033866457258754</v>
      </c>
      <c r="P635" s="8">
        <f t="shared" si="37"/>
        <v>3.3503682618851132</v>
      </c>
      <c r="Q635">
        <v>82</v>
      </c>
      <c r="R635" s="9">
        <f t="shared" si="39"/>
        <v>0.66576177948043336</v>
      </c>
      <c r="S635">
        <v>44</v>
      </c>
      <c r="T635" s="9">
        <f t="shared" si="38"/>
        <v>-2.4106777303069684</v>
      </c>
    </row>
    <row r="636" spans="1:20" x14ac:dyDescent="0.25">
      <c r="A636">
        <v>635</v>
      </c>
      <c r="B636">
        <v>10</v>
      </c>
      <c r="C636">
        <v>92</v>
      </c>
      <c r="D636">
        <v>62</v>
      </c>
      <c r="E636">
        <v>0</v>
      </c>
      <c r="F636">
        <v>0</v>
      </c>
      <c r="G636">
        <v>25.9</v>
      </c>
      <c r="H636">
        <v>0.16700000000000001</v>
      </c>
      <c r="I636">
        <v>31</v>
      </c>
      <c r="J636">
        <v>0</v>
      </c>
      <c r="K636" t="str">
        <f xml:space="preserve"> IF(COUNTIF($D$2:$D1390,$D$3)&gt;1,"duplicated","original")</f>
        <v>duplicated</v>
      </c>
      <c r="L636" s="2">
        <f>COUNTIF($D$2:$D636,D636)</f>
        <v>30</v>
      </c>
      <c r="M636" t="str">
        <f xml:space="preserve"> IF(COUNTIF($I$2:$I1404,I636)&gt;1,"duplicated","original")</f>
        <v>duplicated</v>
      </c>
      <c r="N636" s="2">
        <f>COUNTIF($I$2:$I636,I636)</f>
        <v>20</v>
      </c>
      <c r="O636" s="8">
        <f t="shared" si="36"/>
        <v>2.648698676974115</v>
      </c>
      <c r="P636" s="8">
        <f t="shared" si="37"/>
        <v>1.4916324916838848</v>
      </c>
      <c r="Q636">
        <v>84</v>
      </c>
      <c r="R636" s="9">
        <f t="shared" si="39"/>
        <v>0.76830976314001342</v>
      </c>
      <c r="S636">
        <v>44</v>
      </c>
      <c r="T636" s="9">
        <f t="shared" si="38"/>
        <v>-1.9492118038388582</v>
      </c>
    </row>
    <row r="637" spans="1:20" x14ac:dyDescent="0.25">
      <c r="A637">
        <v>636</v>
      </c>
      <c r="B637">
        <v>13</v>
      </c>
      <c r="C637">
        <v>104</v>
      </c>
      <c r="D637">
        <v>72</v>
      </c>
      <c r="E637">
        <v>0</v>
      </c>
      <c r="F637">
        <v>0</v>
      </c>
      <c r="G637">
        <v>31.2</v>
      </c>
      <c r="H637">
        <v>0.46500000000000002</v>
      </c>
      <c r="I637">
        <v>38</v>
      </c>
      <c r="J637">
        <v>1</v>
      </c>
      <c r="K637" t="str">
        <f xml:space="preserve"> IF(COUNTIF($D$2:$D1405,D637)&gt;1,"duplicated","original")</f>
        <v>duplicated</v>
      </c>
      <c r="L637" s="2">
        <f>COUNTIF($D$2:$D637,D637)</f>
        <v>39</v>
      </c>
      <c r="M637" t="str">
        <f xml:space="preserve"> IF(COUNTIF($I$2:$I1405,I637)&gt;1,"duplicated","original")</f>
        <v>duplicated</v>
      </c>
      <c r="N637" s="2">
        <f>COUNTIF($I$2:$I637,I637)</f>
        <v>14</v>
      </c>
      <c r="O637" s="8">
        <f t="shared" si="36"/>
        <v>1.7275402509335562</v>
      </c>
      <c r="P637" s="8">
        <f t="shared" si="37"/>
        <v>2.1851847770275459</v>
      </c>
      <c r="Q637">
        <v>84</v>
      </c>
      <c r="R637" s="9">
        <f t="shared" si="39"/>
        <v>0.76830976314001342</v>
      </c>
      <c r="S637">
        <v>44</v>
      </c>
      <c r="T637" s="9">
        <f t="shared" si="38"/>
        <v>-1.5902938610303279</v>
      </c>
    </row>
    <row r="638" spans="1:20" x14ac:dyDescent="0.25">
      <c r="A638">
        <v>637</v>
      </c>
      <c r="B638">
        <v>5</v>
      </c>
      <c r="C638">
        <v>104</v>
      </c>
      <c r="D638">
        <v>74</v>
      </c>
      <c r="E638">
        <v>0</v>
      </c>
      <c r="F638">
        <v>0</v>
      </c>
      <c r="G638">
        <v>28.8</v>
      </c>
      <c r="H638">
        <v>0.153</v>
      </c>
      <c r="I638">
        <v>48</v>
      </c>
      <c r="J638">
        <v>0</v>
      </c>
      <c r="K638" t="str">
        <f xml:space="preserve"> IF(COUNTIF($D$2:$D1406,D638)&gt;1,"duplicated","original")</f>
        <v>duplicated</v>
      </c>
      <c r="L638" s="2">
        <f>COUNTIF($D$2:$D638,D638)</f>
        <v>41</v>
      </c>
      <c r="M638" t="str">
        <f xml:space="preserve"> IF(COUNTIF($I$2:$I1406,I638)&gt;1,"duplicated","original")</f>
        <v>duplicated</v>
      </c>
      <c r="N638" s="2">
        <f>COUNTIF($I$2:$I638,I638)</f>
        <v>4</v>
      </c>
      <c r="O638" s="8">
        <f t="shared" si="36"/>
        <v>2.2325759379236296</v>
      </c>
      <c r="P638" s="8">
        <f t="shared" si="37"/>
        <v>3.8438304475812828</v>
      </c>
      <c r="Q638">
        <v>84</v>
      </c>
      <c r="R638" s="9">
        <f t="shared" si="39"/>
        <v>0.76830976314001342</v>
      </c>
      <c r="S638">
        <v>45</v>
      </c>
      <c r="T638" s="9">
        <f t="shared" si="38"/>
        <v>-1.0775539427324277</v>
      </c>
    </row>
    <row r="639" spans="1:20" x14ac:dyDescent="0.25">
      <c r="A639">
        <v>638</v>
      </c>
      <c r="B639">
        <v>2</v>
      </c>
      <c r="C639">
        <v>94</v>
      </c>
      <c r="D639">
        <v>76</v>
      </c>
      <c r="E639">
        <v>18</v>
      </c>
      <c r="F639">
        <v>66</v>
      </c>
      <c r="G639">
        <v>31.6</v>
      </c>
      <c r="H639">
        <v>0.64900000000000002</v>
      </c>
      <c r="I639">
        <v>23</v>
      </c>
      <c r="J639">
        <v>0</v>
      </c>
      <c r="K639" t="str">
        <f xml:space="preserve"> IF(COUNTIF($D$2:$D1393,$D$3)&gt;1,"duplicated","original")</f>
        <v>duplicated</v>
      </c>
      <c r="L639" s="2">
        <f>COUNTIF($D$2:$D639,D639)</f>
        <v>31</v>
      </c>
      <c r="M639" t="str">
        <f xml:space="preserve"> IF(COUNTIF($I$2:$I1393,I639)&gt;1,"duplicated","original")</f>
        <v>duplicated</v>
      </c>
      <c r="N639" s="2">
        <f>COUNTIF($I$2:$I639,I639)</f>
        <v>31</v>
      </c>
      <c r="O639" s="8">
        <f t="shared" si="36"/>
        <v>2.642800658126824</v>
      </c>
      <c r="P639" s="8">
        <f t="shared" si="37"/>
        <v>3.1976503076864229</v>
      </c>
      <c r="Q639">
        <v>84</v>
      </c>
      <c r="R639" s="9">
        <f t="shared" si="39"/>
        <v>0.76830976314001342</v>
      </c>
      <c r="S639">
        <v>45</v>
      </c>
      <c r="T639" s="9">
        <f t="shared" si="38"/>
        <v>-2.3594037384771784</v>
      </c>
    </row>
    <row r="640" spans="1:20" x14ac:dyDescent="0.25">
      <c r="A640">
        <v>639</v>
      </c>
      <c r="B640">
        <v>7</v>
      </c>
      <c r="C640">
        <v>97</v>
      </c>
      <c r="D640">
        <v>76</v>
      </c>
      <c r="E640">
        <v>32</v>
      </c>
      <c r="F640">
        <v>91</v>
      </c>
      <c r="G640">
        <v>40.9</v>
      </c>
      <c r="H640">
        <v>0.871</v>
      </c>
      <c r="I640">
        <v>32</v>
      </c>
      <c r="J640">
        <v>1</v>
      </c>
      <c r="K640" t="str">
        <f xml:space="preserve"> IF(COUNTIF($D$2:$D1408,D640)&gt;1,"duplicated","original")</f>
        <v>duplicated</v>
      </c>
      <c r="L640" s="2">
        <f>COUNTIF($D$2:$D640,D640)</f>
        <v>32</v>
      </c>
      <c r="M640" t="str">
        <f xml:space="preserve"> IF(COUNTIF($I$2:$I1408,I640)&gt;1,"duplicated","original")</f>
        <v>duplicated</v>
      </c>
      <c r="N640" s="2">
        <f>COUNTIF($I$2:$I640,I640)</f>
        <v>14</v>
      </c>
      <c r="O640" s="8">
        <f t="shared" si="36"/>
        <v>2.642800658126824</v>
      </c>
      <c r="P640" s="8">
        <f t="shared" si="37"/>
        <v>1.1067824945521474</v>
      </c>
      <c r="Q640">
        <v>84</v>
      </c>
      <c r="R640" s="9">
        <f t="shared" si="39"/>
        <v>0.76830976314001342</v>
      </c>
      <c r="S640">
        <v>45</v>
      </c>
      <c r="T640" s="9">
        <f t="shared" si="38"/>
        <v>-1.8979378120090682</v>
      </c>
    </row>
    <row r="641" spans="1:20" x14ac:dyDescent="0.25">
      <c r="A641">
        <v>640</v>
      </c>
      <c r="B641">
        <v>1</v>
      </c>
      <c r="C641">
        <v>100</v>
      </c>
      <c r="D641">
        <v>74</v>
      </c>
      <c r="E641">
        <v>12</v>
      </c>
      <c r="F641">
        <v>46</v>
      </c>
      <c r="G641">
        <v>19.5</v>
      </c>
      <c r="H641">
        <v>0.14899999999999999</v>
      </c>
      <c r="I641">
        <v>28</v>
      </c>
      <c r="J641">
        <v>0</v>
      </c>
      <c r="K641" t="str">
        <f xml:space="preserve"> IF(COUNTIF($D$2:$D1409,D641)&gt;1,"duplicated","original")</f>
        <v>duplicated</v>
      </c>
      <c r="L641" s="2">
        <f>COUNTIF($D$2:$D641,D641)</f>
        <v>42</v>
      </c>
      <c r="M641" t="str">
        <f xml:space="preserve"> IF(COUNTIF($I$2:$I1409,I641)&gt;1,"duplicated","original")</f>
        <v>duplicated</v>
      </c>
      <c r="N641" s="2">
        <f>COUNTIF($I$2:$I641,I641)</f>
        <v>30</v>
      </c>
      <c r="O641" s="8">
        <f t="shared" si="36"/>
        <v>2.2325759379236296</v>
      </c>
      <c r="P641" s="8">
        <f t="shared" si="37"/>
        <v>2.2858187789601945</v>
      </c>
      <c r="Q641">
        <v>84</v>
      </c>
      <c r="R641" s="9">
        <f t="shared" si="39"/>
        <v>0.76830976314001342</v>
      </c>
      <c r="S641">
        <v>45</v>
      </c>
      <c r="T641" s="9">
        <f t="shared" si="38"/>
        <v>-2.1030337793282281</v>
      </c>
    </row>
    <row r="642" spans="1:20" x14ac:dyDescent="0.25">
      <c r="A642">
        <v>641</v>
      </c>
      <c r="B642">
        <v>0</v>
      </c>
      <c r="C642">
        <v>102</v>
      </c>
      <c r="D642">
        <v>86</v>
      </c>
      <c r="E642">
        <v>17</v>
      </c>
      <c r="F642">
        <v>105</v>
      </c>
      <c r="G642">
        <v>29.3</v>
      </c>
      <c r="H642">
        <v>0.69499999999999995</v>
      </c>
      <c r="I642">
        <v>27</v>
      </c>
      <c r="J642">
        <v>0</v>
      </c>
      <c r="K642" t="str">
        <f xml:space="preserve"> IF(COUNTIF($D$2:$D1396,$D$3)&gt;1,"duplicated","original")</f>
        <v>duplicated</v>
      </c>
      <c r="L642" s="2">
        <f>COUNTIF($D$2:$D642,D642)</f>
        <v>16</v>
      </c>
      <c r="M642" t="str">
        <f xml:space="preserve"> IF(COUNTIF($I$2:$I1410,I642)&gt;1,"duplicated","original")</f>
        <v>duplicated</v>
      </c>
      <c r="N642" s="2">
        <f>COUNTIF($I$2:$I642,I642)</f>
        <v>24</v>
      </c>
      <c r="O642" s="8">
        <f t="shared" ref="O642:O705" si="40">SQRT(ABS($D642 - $U$8))</f>
        <v>4.121212845582666</v>
      </c>
      <c r="P642" s="8">
        <f t="shared" ref="P642:P705" si="41">SQRT(ABS($I642 - $W$8))</f>
        <v>2.4949884749727951</v>
      </c>
      <c r="Q642">
        <v>84</v>
      </c>
      <c r="R642" s="9">
        <f t="shared" si="39"/>
        <v>0.76830976314001342</v>
      </c>
      <c r="S642">
        <v>45</v>
      </c>
      <c r="T642" s="9">
        <f t="shared" si="38"/>
        <v>-2.1543077711580185</v>
      </c>
    </row>
    <row r="643" spans="1:20" x14ac:dyDescent="0.25">
      <c r="A643">
        <v>642</v>
      </c>
      <c r="B643">
        <v>4</v>
      </c>
      <c r="C643">
        <v>128</v>
      </c>
      <c r="D643">
        <v>70</v>
      </c>
      <c r="E643">
        <v>0</v>
      </c>
      <c r="F643">
        <v>0</v>
      </c>
      <c r="G643">
        <v>34.299999999999997</v>
      </c>
      <c r="H643">
        <v>0.30299999999999999</v>
      </c>
      <c r="I643">
        <v>24</v>
      </c>
      <c r="J643">
        <v>0</v>
      </c>
      <c r="K643" t="str">
        <f xml:space="preserve"> IF(COUNTIF($D$2:$D1411,D643)&gt;1,"duplicated","original")</f>
        <v>duplicated</v>
      </c>
      <c r="L643" s="2">
        <f>COUNTIF($D$2:$D643,D643)</f>
        <v>48</v>
      </c>
      <c r="M643" t="str">
        <f xml:space="preserve"> IF(COUNTIF($I$2:$I1397,I643)&gt;1,"duplicated","original")</f>
        <v>duplicated</v>
      </c>
      <c r="N643" s="2">
        <f>COUNTIF($I$2:$I643,I643)</f>
        <v>42</v>
      </c>
      <c r="O643" s="8">
        <f t="shared" si="40"/>
        <v>0.99216698120607405</v>
      </c>
      <c r="P643" s="8">
        <f t="shared" si="41"/>
        <v>3.0372631578852487</v>
      </c>
      <c r="Q643">
        <v>84</v>
      </c>
      <c r="R643" s="9">
        <f t="shared" si="39"/>
        <v>0.76830976314001342</v>
      </c>
      <c r="S643">
        <v>45</v>
      </c>
      <c r="T643" s="9">
        <f t="shared" ref="T643:T706" si="42">STANDARDIZE($I643,$U$8,$U$26)</f>
        <v>-2.3081297466473885</v>
      </c>
    </row>
    <row r="644" spans="1:20" x14ac:dyDescent="0.25">
      <c r="A644">
        <v>643</v>
      </c>
      <c r="B644">
        <v>6</v>
      </c>
      <c r="C644">
        <v>147</v>
      </c>
      <c r="D644">
        <v>80</v>
      </c>
      <c r="E644">
        <v>0</v>
      </c>
      <c r="F644">
        <v>0</v>
      </c>
      <c r="G644">
        <v>29.5</v>
      </c>
      <c r="H644">
        <v>0.17799999999999999</v>
      </c>
      <c r="I644">
        <v>50</v>
      </c>
      <c r="J644">
        <v>1</v>
      </c>
      <c r="K644" t="str">
        <f xml:space="preserve"> IF(COUNTIF($D$2:$D1412,D644)&gt;1,"duplicated","original")</f>
        <v>duplicated</v>
      </c>
      <c r="L644" s="2">
        <f>COUNTIF($D$2:$D644,D644)</f>
        <v>33</v>
      </c>
      <c r="M644" t="str">
        <f xml:space="preserve"> IF(COUNTIF($I$2:$I1412,I644)&gt;1,"duplicated","original")</f>
        <v>duplicated</v>
      </c>
      <c r="N644" s="2">
        <f>COUNTIF($I$2:$I644,I644)</f>
        <v>7</v>
      </c>
      <c r="O644" s="8">
        <f t="shared" si="40"/>
        <v>3.3142714612106796</v>
      </c>
      <c r="P644" s="8">
        <f t="shared" si="41"/>
        <v>4.095733451990367</v>
      </c>
      <c r="Q644">
        <v>84</v>
      </c>
      <c r="R644" s="9">
        <f t="shared" si="39"/>
        <v>0.76830976314001342</v>
      </c>
      <c r="S644">
        <v>45</v>
      </c>
      <c r="T644" s="9">
        <f t="shared" si="42"/>
        <v>-0.97500595907284759</v>
      </c>
    </row>
    <row r="645" spans="1:20" x14ac:dyDescent="0.25">
      <c r="A645">
        <v>644</v>
      </c>
      <c r="B645">
        <v>4</v>
      </c>
      <c r="C645">
        <v>90</v>
      </c>
      <c r="D645">
        <v>0</v>
      </c>
      <c r="E645">
        <v>0</v>
      </c>
      <c r="F645">
        <v>0</v>
      </c>
      <c r="G645">
        <v>28</v>
      </c>
      <c r="H645">
        <v>0.61</v>
      </c>
      <c r="I645">
        <v>31</v>
      </c>
      <c r="J645">
        <v>0</v>
      </c>
      <c r="K645" t="str">
        <f xml:space="preserve"> IF(COUNTIF($D$2:$D1399,$D$3)&gt;1,"duplicated","original")</f>
        <v>duplicated</v>
      </c>
      <c r="L645" s="2">
        <f>COUNTIF($D$2:$D645,D645)</f>
        <v>32</v>
      </c>
      <c r="M645" t="str">
        <f xml:space="preserve"> IF(COUNTIF($I$2:$I1413,I645)&gt;1,"duplicated","original")</f>
        <v>duplicated</v>
      </c>
      <c r="N645" s="2">
        <f>COUNTIF($I$2:$I645,I645)</f>
        <v>21</v>
      </c>
      <c r="O645" s="8">
        <f t="shared" si="40"/>
        <v>8.3075631012592623</v>
      </c>
      <c r="P645" s="8">
        <f t="shared" si="41"/>
        <v>1.4916324916838848</v>
      </c>
      <c r="Q645">
        <v>84</v>
      </c>
      <c r="R645" s="9">
        <f t="shared" ref="R645:R708" si="43">STANDARDIZE($Q645,$U$8,$U$26)</f>
        <v>0.76830976314001342</v>
      </c>
      <c r="S645">
        <v>45</v>
      </c>
      <c r="T645" s="9">
        <f t="shared" si="42"/>
        <v>-1.9492118038388582</v>
      </c>
    </row>
    <row r="646" spans="1:20" x14ac:dyDescent="0.25">
      <c r="A646">
        <v>645</v>
      </c>
      <c r="B646">
        <v>3</v>
      </c>
      <c r="C646">
        <v>103</v>
      </c>
      <c r="D646">
        <v>72</v>
      </c>
      <c r="E646">
        <v>30</v>
      </c>
      <c r="F646">
        <v>152</v>
      </c>
      <c r="G646">
        <v>27.6</v>
      </c>
      <c r="H646">
        <v>0.73</v>
      </c>
      <c r="I646">
        <v>27</v>
      </c>
      <c r="J646">
        <v>0</v>
      </c>
      <c r="K646" t="str">
        <f xml:space="preserve"> IF(COUNTIF($D$2:$D1414,D646)&gt;1,"duplicated","original")</f>
        <v>duplicated</v>
      </c>
      <c r="L646" s="2">
        <f>COUNTIF($D$2:$D646,D646)</f>
        <v>40</v>
      </c>
      <c r="M646" t="str">
        <f xml:space="preserve"> IF(COUNTIF($I$2:$I1414,I646)&gt;1,"duplicated","original")</f>
        <v>duplicated</v>
      </c>
      <c r="N646" s="2">
        <f>COUNTIF($I$2:$I646,I646)</f>
        <v>25</v>
      </c>
      <c r="O646" s="8">
        <f t="shared" si="40"/>
        <v>1.7275402509335562</v>
      </c>
      <c r="P646" s="8">
        <f t="shared" si="41"/>
        <v>2.4949884749727951</v>
      </c>
      <c r="Q646">
        <v>84</v>
      </c>
      <c r="R646" s="9">
        <f t="shared" si="43"/>
        <v>0.76830976314001342</v>
      </c>
      <c r="S646">
        <v>45</v>
      </c>
      <c r="T646" s="9">
        <f t="shared" si="42"/>
        <v>-2.1543077711580185</v>
      </c>
    </row>
    <row r="647" spans="1:20" x14ac:dyDescent="0.25">
      <c r="A647">
        <v>646</v>
      </c>
      <c r="B647">
        <v>2</v>
      </c>
      <c r="C647">
        <v>157</v>
      </c>
      <c r="D647">
        <v>74</v>
      </c>
      <c r="E647">
        <v>35</v>
      </c>
      <c r="F647">
        <v>440</v>
      </c>
      <c r="G647">
        <v>39.4</v>
      </c>
      <c r="H647">
        <v>0.13400000000000001</v>
      </c>
      <c r="I647">
        <v>30</v>
      </c>
      <c r="J647">
        <v>0</v>
      </c>
      <c r="K647" t="str">
        <f xml:space="preserve"> IF(COUNTIF($D$2:$D1415,D647)&gt;1,"duplicated","original")</f>
        <v>duplicated</v>
      </c>
      <c r="L647" s="2">
        <f>COUNTIF($D$2:$D647,D647)</f>
        <v>43</v>
      </c>
      <c r="M647" t="str">
        <f xml:space="preserve"> IF(COUNTIF($I$2:$I1401,I647)&gt;1,"duplicated","original")</f>
        <v>duplicated</v>
      </c>
      <c r="N647" s="2">
        <f>COUNTIF($I$2:$I647,I647)</f>
        <v>19</v>
      </c>
      <c r="O647" s="8">
        <f t="shared" si="40"/>
        <v>2.2325759379236296</v>
      </c>
      <c r="P647" s="8">
        <f t="shared" si="41"/>
        <v>1.7958194481202931</v>
      </c>
      <c r="Q647">
        <v>84</v>
      </c>
      <c r="R647" s="9">
        <f t="shared" si="43"/>
        <v>0.76830976314001342</v>
      </c>
      <c r="S647">
        <v>45</v>
      </c>
      <c r="T647" s="9">
        <f t="shared" si="42"/>
        <v>-2.0004857956686481</v>
      </c>
    </row>
    <row r="648" spans="1:20" x14ac:dyDescent="0.25">
      <c r="A648">
        <v>647</v>
      </c>
      <c r="B648">
        <v>1</v>
      </c>
      <c r="C648">
        <v>167</v>
      </c>
      <c r="D648">
        <v>74</v>
      </c>
      <c r="E648">
        <v>17</v>
      </c>
      <c r="F648">
        <v>144</v>
      </c>
      <c r="G648">
        <v>23.4</v>
      </c>
      <c r="H648">
        <v>0.44700000000000001</v>
      </c>
      <c r="I648">
        <v>33</v>
      </c>
      <c r="J648">
        <v>1</v>
      </c>
      <c r="K648" t="str">
        <f xml:space="preserve"> IF(COUNTIF($D$2:$D1402,$D$3)&gt;1,"duplicated","original")</f>
        <v>duplicated</v>
      </c>
      <c r="L648" s="2">
        <f>COUNTIF($D$2:$D648,D648)</f>
        <v>44</v>
      </c>
      <c r="M648" t="str">
        <f xml:space="preserve"> IF(COUNTIF($I$2:$I1416,I648)&gt;1,"duplicated","original")</f>
        <v>duplicated</v>
      </c>
      <c r="N648" s="2">
        <f>COUNTIF($I$2:$I648,I648)</f>
        <v>16</v>
      </c>
      <c r="O648" s="8">
        <f t="shared" si="40"/>
        <v>2.2325759379236296</v>
      </c>
      <c r="P648" s="8">
        <f t="shared" si="41"/>
        <v>0.47430737949885876</v>
      </c>
      <c r="Q648">
        <v>84</v>
      </c>
      <c r="R648" s="9">
        <f t="shared" si="43"/>
        <v>0.76830976314001342</v>
      </c>
      <c r="S648">
        <v>45</v>
      </c>
      <c r="T648" s="9">
        <f t="shared" si="42"/>
        <v>-1.8466638201792782</v>
      </c>
    </row>
    <row r="649" spans="1:20" x14ac:dyDescent="0.25">
      <c r="A649">
        <v>648</v>
      </c>
      <c r="B649">
        <v>0</v>
      </c>
      <c r="C649">
        <v>179</v>
      </c>
      <c r="D649">
        <v>50</v>
      </c>
      <c r="E649">
        <v>36</v>
      </c>
      <c r="F649">
        <v>159</v>
      </c>
      <c r="G649">
        <v>37.799999999999997</v>
      </c>
      <c r="H649">
        <v>0.45500000000000002</v>
      </c>
      <c r="I649">
        <v>22</v>
      </c>
      <c r="J649">
        <v>1</v>
      </c>
      <c r="K649" t="str">
        <f xml:space="preserve"> IF(COUNTIF($D$2:$D1417,D649)&gt;1,"duplicated","original")</f>
        <v>duplicated</v>
      </c>
      <c r="L649" s="2">
        <f>COUNTIF($D$2:$D649,D649)</f>
        <v>11</v>
      </c>
      <c r="M649" t="str">
        <f xml:space="preserve"> IF(COUNTIF($I$2:$I1417,I649)&gt;1,"duplicated","original")</f>
        <v>duplicated</v>
      </c>
      <c r="N649" s="2">
        <f>COUNTIF($I$2:$I649,I649)</f>
        <v>55</v>
      </c>
      <c r="O649" s="8">
        <f t="shared" si="40"/>
        <v>4.3606885558824793</v>
      </c>
      <c r="P649" s="8">
        <f t="shared" si="41"/>
        <v>3.3503682618851132</v>
      </c>
      <c r="Q649">
        <v>84</v>
      </c>
      <c r="R649" s="9">
        <f t="shared" si="43"/>
        <v>0.76830976314001342</v>
      </c>
      <c r="S649">
        <v>45</v>
      </c>
      <c r="T649" s="9">
        <f t="shared" si="42"/>
        <v>-2.4106777303069684</v>
      </c>
    </row>
    <row r="650" spans="1:20" x14ac:dyDescent="0.25">
      <c r="A650">
        <v>649</v>
      </c>
      <c r="B650">
        <v>11</v>
      </c>
      <c r="C650">
        <v>136</v>
      </c>
      <c r="D650">
        <v>84</v>
      </c>
      <c r="E650">
        <v>35</v>
      </c>
      <c r="F650">
        <v>130</v>
      </c>
      <c r="G650">
        <v>28.3</v>
      </c>
      <c r="H650">
        <v>0.26</v>
      </c>
      <c r="I650">
        <v>42</v>
      </c>
      <c r="J650">
        <v>1</v>
      </c>
      <c r="K650" t="str">
        <f xml:space="preserve"> IF(COUNTIF($D$2:$D1418,D650)&gt;1,"duplicated","original")</f>
        <v>duplicated</v>
      </c>
      <c r="L650" s="2">
        <f>COUNTIF($D$2:$D650,D650)</f>
        <v>20</v>
      </c>
      <c r="M650" t="str">
        <f xml:space="preserve"> IF(COUNTIF($I$2:$I1418,I650)&gt;1,"duplicated","original")</f>
        <v>duplicated</v>
      </c>
      <c r="N650" s="2">
        <f>COUNTIF($I$2:$I650,I650)</f>
        <v>14</v>
      </c>
      <c r="O650" s="8">
        <f t="shared" si="40"/>
        <v>3.8709682662863014</v>
      </c>
      <c r="P650" s="8">
        <f t="shared" si="41"/>
        <v>2.9622681360324097</v>
      </c>
      <c r="Q650">
        <v>84</v>
      </c>
      <c r="R650" s="9">
        <f t="shared" si="43"/>
        <v>0.76830976314001342</v>
      </c>
      <c r="S650">
        <v>45</v>
      </c>
      <c r="T650" s="9">
        <f t="shared" si="42"/>
        <v>-1.385197893711168</v>
      </c>
    </row>
    <row r="651" spans="1:20" x14ac:dyDescent="0.25">
      <c r="A651">
        <v>650</v>
      </c>
      <c r="B651">
        <v>0</v>
      </c>
      <c r="C651">
        <v>107</v>
      </c>
      <c r="D651">
        <v>60</v>
      </c>
      <c r="E651">
        <v>25</v>
      </c>
      <c r="F651">
        <v>0</v>
      </c>
      <c r="G651">
        <v>26.4</v>
      </c>
      <c r="H651">
        <v>0.13300000000000001</v>
      </c>
      <c r="I651">
        <v>23</v>
      </c>
      <c r="J651">
        <v>0</v>
      </c>
      <c r="K651" t="str">
        <f xml:space="preserve"> IF(COUNTIF($D$2:$D1405,$D$3)&gt;1,"duplicated","original")</f>
        <v>duplicated</v>
      </c>
      <c r="L651" s="2">
        <f>COUNTIF($D$2:$D651,D651)</f>
        <v>29</v>
      </c>
      <c r="M651" t="str">
        <f xml:space="preserve"> IF(COUNTIF($I$2:$I1405,I651)&gt;1,"duplicated","original")</f>
        <v>duplicated</v>
      </c>
      <c r="N651" s="2">
        <f>COUNTIF($I$2:$I651,I651)</f>
        <v>32</v>
      </c>
      <c r="O651" s="8">
        <f t="shared" si="40"/>
        <v>3.002599653867366</v>
      </c>
      <c r="P651" s="8">
        <f t="shared" si="41"/>
        <v>3.1976503076864229</v>
      </c>
      <c r="Q651">
        <v>84</v>
      </c>
      <c r="R651" s="9">
        <f t="shared" si="43"/>
        <v>0.76830976314001342</v>
      </c>
      <c r="S651">
        <v>45</v>
      </c>
      <c r="T651" s="9">
        <f t="shared" si="42"/>
        <v>-2.3594037384771784</v>
      </c>
    </row>
    <row r="652" spans="1:20" x14ac:dyDescent="0.25">
      <c r="A652">
        <v>651</v>
      </c>
      <c r="B652">
        <v>1</v>
      </c>
      <c r="C652">
        <v>91</v>
      </c>
      <c r="D652">
        <v>54</v>
      </c>
      <c r="E652">
        <v>25</v>
      </c>
      <c r="F652">
        <v>100</v>
      </c>
      <c r="G652">
        <v>25.2</v>
      </c>
      <c r="H652">
        <v>0.23400000000000001</v>
      </c>
      <c r="I652">
        <v>23</v>
      </c>
      <c r="J652">
        <v>0</v>
      </c>
      <c r="K652" t="str">
        <f xml:space="preserve"> IF(COUNTIF($D$2:$D1420,D652)&gt;1,"duplicated","original")</f>
        <v>duplicated</v>
      </c>
      <c r="L652" s="2">
        <f>COUNTIF($D$2:$D652,D652)</f>
        <v>10</v>
      </c>
      <c r="M652" t="str">
        <f xml:space="preserve"> IF(COUNTIF($I$2:$I1420,I652)&gt;1,"duplicated","original")</f>
        <v>duplicated</v>
      </c>
      <c r="N652" s="2">
        <f>COUNTIF($I$2:$I652,I652)</f>
        <v>33</v>
      </c>
      <c r="O652" s="8">
        <f t="shared" si="40"/>
        <v>3.8749973782448452</v>
      </c>
      <c r="P652" s="8">
        <f t="shared" si="41"/>
        <v>3.1976503076864229</v>
      </c>
      <c r="Q652">
        <v>84</v>
      </c>
      <c r="R652" s="9">
        <f t="shared" si="43"/>
        <v>0.76830976314001342</v>
      </c>
      <c r="S652">
        <v>45</v>
      </c>
      <c r="T652" s="9">
        <f t="shared" si="42"/>
        <v>-2.3594037384771784</v>
      </c>
    </row>
    <row r="653" spans="1:20" x14ac:dyDescent="0.25">
      <c r="A653">
        <v>652</v>
      </c>
      <c r="B653">
        <v>1</v>
      </c>
      <c r="C653">
        <v>117</v>
      </c>
      <c r="D653">
        <v>60</v>
      </c>
      <c r="E653">
        <v>23</v>
      </c>
      <c r="F653">
        <v>106</v>
      </c>
      <c r="G653">
        <v>33.799999999999997</v>
      </c>
      <c r="H653">
        <v>0.46600000000000003</v>
      </c>
      <c r="I653">
        <v>27</v>
      </c>
      <c r="J653">
        <v>0</v>
      </c>
      <c r="K653" t="str">
        <f xml:space="preserve"> IF(COUNTIF($D$2:$D1421,D653)&gt;1,"duplicated","original")</f>
        <v>duplicated</v>
      </c>
      <c r="L653" s="2">
        <f>COUNTIF($D$2:$D653,D653)</f>
        <v>30</v>
      </c>
      <c r="M653" t="str">
        <f xml:space="preserve"> IF(COUNTIF($I$2:$I1421,I653)&gt;1,"duplicated","original")</f>
        <v>duplicated</v>
      </c>
      <c r="N653" s="2">
        <f>COUNTIF($I$2:$I653,I653)</f>
        <v>26</v>
      </c>
      <c r="O653" s="8">
        <f t="shared" si="40"/>
        <v>3.002599653867366</v>
      </c>
      <c r="P653" s="8">
        <f t="shared" si="41"/>
        <v>2.4949884749727951</v>
      </c>
      <c r="Q653">
        <v>84</v>
      </c>
      <c r="R653" s="9">
        <f t="shared" si="43"/>
        <v>0.76830976314001342</v>
      </c>
      <c r="S653">
        <v>46</v>
      </c>
      <c r="T653" s="9">
        <f t="shared" si="42"/>
        <v>-2.1543077711580185</v>
      </c>
    </row>
    <row r="654" spans="1:20" x14ac:dyDescent="0.25">
      <c r="A654">
        <v>653</v>
      </c>
      <c r="B654">
        <v>5</v>
      </c>
      <c r="C654">
        <v>123</v>
      </c>
      <c r="D654">
        <v>74</v>
      </c>
      <c r="E654">
        <v>40</v>
      </c>
      <c r="F654">
        <v>77</v>
      </c>
      <c r="G654">
        <v>34.1</v>
      </c>
      <c r="H654">
        <v>0.26900000000000002</v>
      </c>
      <c r="I654">
        <v>28</v>
      </c>
      <c r="J654">
        <v>0</v>
      </c>
      <c r="K654" t="str">
        <f xml:space="preserve"> IF(COUNTIF($D$2:$D1408,$D$3)&gt;1,"duplicated","original")</f>
        <v>duplicated</v>
      </c>
      <c r="L654" s="2">
        <f>COUNTIF($D$2:$D654,D654)</f>
        <v>45</v>
      </c>
      <c r="M654" t="str">
        <f xml:space="preserve"> IF(COUNTIF($I$2:$I1422,I654)&gt;1,"duplicated","original")</f>
        <v>duplicated</v>
      </c>
      <c r="N654" s="2">
        <f>COUNTIF($I$2:$I654,I654)</f>
        <v>31</v>
      </c>
      <c r="O654" s="8">
        <f t="shared" si="40"/>
        <v>2.2325759379236296</v>
      </c>
      <c r="P654" s="8">
        <f t="shared" si="41"/>
        <v>2.2858187789601945</v>
      </c>
      <c r="Q654">
        <v>84</v>
      </c>
      <c r="R654" s="9">
        <f t="shared" si="43"/>
        <v>0.76830976314001342</v>
      </c>
      <c r="S654">
        <v>46</v>
      </c>
      <c r="T654" s="9">
        <f t="shared" si="42"/>
        <v>-2.1030337793282281</v>
      </c>
    </row>
    <row r="655" spans="1:20" x14ac:dyDescent="0.25">
      <c r="A655">
        <v>654</v>
      </c>
      <c r="B655">
        <v>2</v>
      </c>
      <c r="C655">
        <v>120</v>
      </c>
      <c r="D655">
        <v>54</v>
      </c>
      <c r="E655">
        <v>0</v>
      </c>
      <c r="F655">
        <v>0</v>
      </c>
      <c r="G655">
        <v>26.8</v>
      </c>
      <c r="H655">
        <v>0.45500000000000002</v>
      </c>
      <c r="I655">
        <v>27</v>
      </c>
      <c r="J655">
        <v>0</v>
      </c>
      <c r="K655" t="str">
        <f xml:space="preserve"> IF(COUNTIF($D$2:$D1423,D655)&gt;1,"duplicated","original")</f>
        <v>duplicated</v>
      </c>
      <c r="L655" s="2">
        <f>COUNTIF($D$2:$D655,D655)</f>
        <v>11</v>
      </c>
      <c r="M655" t="str">
        <f xml:space="preserve"> IF(COUNTIF($I$2:$I1409,I655)&gt;1,"duplicated","original")</f>
        <v>duplicated</v>
      </c>
      <c r="N655" s="2">
        <f>COUNTIF($I$2:$I655,I655)</f>
        <v>27</v>
      </c>
      <c r="O655" s="8">
        <f t="shared" si="40"/>
        <v>3.8749973782448452</v>
      </c>
      <c r="P655" s="8">
        <f t="shared" si="41"/>
        <v>2.4949884749727951</v>
      </c>
      <c r="Q655">
        <v>84</v>
      </c>
      <c r="R655" s="9">
        <f t="shared" si="43"/>
        <v>0.76830976314001342</v>
      </c>
      <c r="S655">
        <v>46</v>
      </c>
      <c r="T655" s="9">
        <f t="shared" si="42"/>
        <v>-2.1543077711580185</v>
      </c>
    </row>
    <row r="656" spans="1:20" x14ac:dyDescent="0.25">
      <c r="A656">
        <v>655</v>
      </c>
      <c r="B656">
        <v>1</v>
      </c>
      <c r="C656">
        <v>106</v>
      </c>
      <c r="D656">
        <v>70</v>
      </c>
      <c r="E656">
        <v>28</v>
      </c>
      <c r="F656">
        <v>135</v>
      </c>
      <c r="G656">
        <v>34.200000000000003</v>
      </c>
      <c r="H656">
        <v>0.14199999999999999</v>
      </c>
      <c r="I656">
        <v>22</v>
      </c>
      <c r="J656">
        <v>0</v>
      </c>
      <c r="K656" t="str">
        <f xml:space="preserve"> IF(COUNTIF($D$2:$D1424,D656)&gt;1,"duplicated","original")</f>
        <v>duplicated</v>
      </c>
      <c r="L656" s="2">
        <f>COUNTIF($D$2:$D656,D656)</f>
        <v>49</v>
      </c>
      <c r="M656" t="str">
        <f xml:space="preserve"> IF(COUNTIF($I$2:$I1424,I656)&gt;1,"duplicated","original")</f>
        <v>duplicated</v>
      </c>
      <c r="N656" s="2">
        <f>COUNTIF($I$2:$I656,I656)</f>
        <v>56</v>
      </c>
      <c r="O656" s="8">
        <f t="shared" si="40"/>
        <v>0.99216698120607405</v>
      </c>
      <c r="P656" s="8">
        <f t="shared" si="41"/>
        <v>3.3503682618851132</v>
      </c>
      <c r="Q656">
        <v>84</v>
      </c>
      <c r="R656" s="9">
        <f t="shared" si="43"/>
        <v>0.76830976314001342</v>
      </c>
      <c r="S656">
        <v>46</v>
      </c>
      <c r="T656" s="9">
        <f t="shared" si="42"/>
        <v>-2.4106777303069684</v>
      </c>
    </row>
    <row r="657" spans="1:20" x14ac:dyDescent="0.25">
      <c r="A657">
        <v>656</v>
      </c>
      <c r="B657">
        <v>2</v>
      </c>
      <c r="C657">
        <v>155</v>
      </c>
      <c r="D657">
        <v>52</v>
      </c>
      <c r="E657">
        <v>27</v>
      </c>
      <c r="F657">
        <v>540</v>
      </c>
      <c r="G657">
        <v>38.700000000000003</v>
      </c>
      <c r="H657">
        <v>0.24</v>
      </c>
      <c r="I657">
        <v>25</v>
      </c>
      <c r="J657">
        <v>1</v>
      </c>
      <c r="K657" t="str">
        <f xml:space="preserve"> IF(COUNTIF($D$2:$D1411,$D$3)&gt;1,"duplicated","original")</f>
        <v>duplicated</v>
      </c>
      <c r="L657" s="2">
        <f>COUNTIF($D$2:$D657,D657)</f>
        <v>9</v>
      </c>
      <c r="M657" t="str">
        <f xml:space="preserve"> IF(COUNTIF($I$2:$I1425,I657)&gt;1,"duplicated","original")</f>
        <v>duplicated</v>
      </c>
      <c r="N657" s="2">
        <f>COUNTIF($I$2:$I657,I657)</f>
        <v>42</v>
      </c>
      <c r="O657" s="8">
        <f t="shared" si="40"/>
        <v>4.1249975371391949</v>
      </c>
      <c r="P657" s="8">
        <f t="shared" si="41"/>
        <v>2.8679204121186967</v>
      </c>
      <c r="Q657">
        <v>84</v>
      </c>
      <c r="R657" s="9">
        <f t="shared" si="43"/>
        <v>0.76830976314001342</v>
      </c>
      <c r="S657">
        <v>46</v>
      </c>
      <c r="T657" s="9">
        <f t="shared" si="42"/>
        <v>-2.2568557548175985</v>
      </c>
    </row>
    <row r="658" spans="1:20" x14ac:dyDescent="0.25">
      <c r="A658">
        <v>657</v>
      </c>
      <c r="B658">
        <v>2</v>
      </c>
      <c r="C658">
        <v>101</v>
      </c>
      <c r="D658">
        <v>58</v>
      </c>
      <c r="E658">
        <v>35</v>
      </c>
      <c r="F658">
        <v>90</v>
      </c>
      <c r="G658">
        <v>21.8</v>
      </c>
      <c r="H658">
        <v>0.155</v>
      </c>
      <c r="I658">
        <v>22</v>
      </c>
      <c r="J658">
        <v>0</v>
      </c>
      <c r="K658" t="str">
        <f xml:space="preserve"> IF(COUNTIF($D$2:$D1426,D658)&gt;1,"duplicated","original")</f>
        <v>duplicated</v>
      </c>
      <c r="L658" s="2">
        <f>COUNTIF($D$2:$D658,D658)</f>
        <v>15</v>
      </c>
      <c r="M658" t="str">
        <f xml:space="preserve"> IF(COUNTIF($I$2:$I1426,I658)&gt;1,"duplicated","original")</f>
        <v>duplicated</v>
      </c>
      <c r="N658" s="2">
        <f>COUNTIF($I$2:$I658,I658)</f>
        <v>57</v>
      </c>
      <c r="O658" s="8">
        <f t="shared" si="40"/>
        <v>3.3189764508662045</v>
      </c>
      <c r="P658" s="8">
        <f t="shared" si="41"/>
        <v>3.3503682618851132</v>
      </c>
      <c r="Q658">
        <v>84</v>
      </c>
      <c r="R658" s="9">
        <f t="shared" si="43"/>
        <v>0.76830976314001342</v>
      </c>
      <c r="S658">
        <v>46</v>
      </c>
      <c r="T658" s="9">
        <f t="shared" si="42"/>
        <v>-2.4106777303069684</v>
      </c>
    </row>
    <row r="659" spans="1:20" x14ac:dyDescent="0.25">
      <c r="A659">
        <v>658</v>
      </c>
      <c r="B659">
        <v>1</v>
      </c>
      <c r="C659">
        <v>120</v>
      </c>
      <c r="D659">
        <v>80</v>
      </c>
      <c r="E659">
        <v>48</v>
      </c>
      <c r="F659">
        <v>200</v>
      </c>
      <c r="G659">
        <v>38.9</v>
      </c>
      <c r="H659">
        <v>1.1619999999999999</v>
      </c>
      <c r="I659">
        <v>41</v>
      </c>
      <c r="J659">
        <v>0</v>
      </c>
      <c r="K659" t="str">
        <f xml:space="preserve"> IF(COUNTIF($D$2:$D1427,D659)&gt;1,"duplicated","original")</f>
        <v>duplicated</v>
      </c>
      <c r="L659" s="2">
        <f>COUNTIF($D$2:$D659,D659)</f>
        <v>34</v>
      </c>
      <c r="M659" t="str">
        <f xml:space="preserve"> IF(COUNTIF($I$2:$I1413,I659)&gt;1,"duplicated","original")</f>
        <v>duplicated</v>
      </c>
      <c r="N659" s="2">
        <f>COUNTIF($I$2:$I659,I659)</f>
        <v>21</v>
      </c>
      <c r="O659" s="8">
        <f t="shared" si="40"/>
        <v>3.3142714612106796</v>
      </c>
      <c r="P659" s="8">
        <f t="shared" si="41"/>
        <v>2.7883745282427403</v>
      </c>
      <c r="Q659">
        <v>85</v>
      </c>
      <c r="R659" s="9">
        <f t="shared" si="43"/>
        <v>0.81958375496980351</v>
      </c>
      <c r="S659">
        <v>46</v>
      </c>
      <c r="T659" s="9">
        <f t="shared" si="42"/>
        <v>-1.4364718855409579</v>
      </c>
    </row>
    <row r="660" spans="1:20" x14ac:dyDescent="0.25">
      <c r="A660">
        <v>659</v>
      </c>
      <c r="B660">
        <v>11</v>
      </c>
      <c r="C660">
        <v>127</v>
      </c>
      <c r="D660">
        <v>106</v>
      </c>
      <c r="E660">
        <v>0</v>
      </c>
      <c r="F660">
        <v>0</v>
      </c>
      <c r="G660">
        <v>39</v>
      </c>
      <c r="H660">
        <v>0.19</v>
      </c>
      <c r="I660">
        <v>51</v>
      </c>
      <c r="J660">
        <v>0</v>
      </c>
      <c r="K660" t="str">
        <f xml:space="preserve"> IF(COUNTIF($D$2:$D1414,$D$3)&gt;1,"duplicated","original")</f>
        <v>duplicated</v>
      </c>
      <c r="L660" s="2">
        <f>COUNTIF($D$2:$D660,D660)</f>
        <v>1</v>
      </c>
      <c r="M660" t="str">
        <f xml:space="preserve"> IF(COUNTIF($I$2:$I1428,I660)&gt;1,"duplicated","original")</f>
        <v>duplicated</v>
      </c>
      <c r="N660" s="2">
        <f>COUNTIF($I$2:$I660,I660)</f>
        <v>8</v>
      </c>
      <c r="O660" s="8">
        <f t="shared" si="40"/>
        <v>6.081479698115877</v>
      </c>
      <c r="P660" s="8">
        <f t="shared" si="41"/>
        <v>4.2160446522484705</v>
      </c>
      <c r="Q660">
        <v>85</v>
      </c>
      <c r="R660" s="9">
        <f t="shared" si="43"/>
        <v>0.81958375496980351</v>
      </c>
      <c r="S660">
        <v>46</v>
      </c>
      <c r="T660" s="9">
        <f t="shared" si="42"/>
        <v>-0.92373196724305762</v>
      </c>
    </row>
    <row r="661" spans="1:20" x14ac:dyDescent="0.25">
      <c r="A661">
        <v>660</v>
      </c>
      <c r="B661">
        <v>3</v>
      </c>
      <c r="C661">
        <v>80</v>
      </c>
      <c r="D661">
        <v>82</v>
      </c>
      <c r="E661">
        <v>31</v>
      </c>
      <c r="F661">
        <v>70</v>
      </c>
      <c r="G661">
        <v>34.200000000000003</v>
      </c>
      <c r="H661">
        <v>1.292</v>
      </c>
      <c r="I661">
        <v>27</v>
      </c>
      <c r="J661">
        <v>1</v>
      </c>
      <c r="K661" t="str">
        <f xml:space="preserve"> IF(COUNTIF($D$2:$D1429,D661)&gt;1,"duplicated","original")</f>
        <v>duplicated</v>
      </c>
      <c r="L661" s="2">
        <f>COUNTIF($D$2:$D661,D661)</f>
        <v>26</v>
      </c>
      <c r="M661" t="str">
        <f xml:space="preserve"> IF(COUNTIF($I$2:$I1429,I661)&gt;1,"duplicated","original")</f>
        <v>duplicated</v>
      </c>
      <c r="N661" s="2">
        <f>COUNTIF($I$2:$I661,I661)</f>
        <v>28</v>
      </c>
      <c r="O661" s="8">
        <f t="shared" si="40"/>
        <v>3.6033866457258754</v>
      </c>
      <c r="P661" s="8">
        <f t="shared" si="41"/>
        <v>2.4949884749727951</v>
      </c>
      <c r="Q661">
        <v>85</v>
      </c>
      <c r="R661" s="9">
        <f t="shared" si="43"/>
        <v>0.81958375496980351</v>
      </c>
      <c r="S661">
        <v>46</v>
      </c>
      <c r="T661" s="9">
        <f t="shared" si="42"/>
        <v>-2.1543077711580185</v>
      </c>
    </row>
    <row r="662" spans="1:20" x14ac:dyDescent="0.25">
      <c r="A662">
        <v>661</v>
      </c>
      <c r="B662">
        <v>10</v>
      </c>
      <c r="C662">
        <v>162</v>
      </c>
      <c r="D662">
        <v>84</v>
      </c>
      <c r="E662">
        <v>0</v>
      </c>
      <c r="F662">
        <v>0</v>
      </c>
      <c r="G662">
        <v>27.7</v>
      </c>
      <c r="H662">
        <v>0.182</v>
      </c>
      <c r="I662">
        <v>54</v>
      </c>
      <c r="J662">
        <v>0</v>
      </c>
      <c r="K662" t="str">
        <f xml:space="preserve"> IF(COUNTIF($D$2:$D1430,D662)&gt;1,"duplicated","original")</f>
        <v>duplicated</v>
      </c>
      <c r="L662" s="2">
        <f>COUNTIF($D$2:$D662,D662)</f>
        <v>21</v>
      </c>
      <c r="M662" t="str">
        <f xml:space="preserve"> IF(COUNTIF($I$2:$I1430,I662)&gt;1,"duplicated","original")</f>
        <v>duplicated</v>
      </c>
      <c r="N662" s="2">
        <f>COUNTIF($I$2:$I662,I662)</f>
        <v>6</v>
      </c>
      <c r="O662" s="8">
        <f t="shared" si="40"/>
        <v>3.8709682662863014</v>
      </c>
      <c r="P662" s="8">
        <f t="shared" si="41"/>
        <v>4.5579636362912028</v>
      </c>
      <c r="Q662">
        <v>85</v>
      </c>
      <c r="R662" s="9">
        <f t="shared" si="43"/>
        <v>0.81958375496980351</v>
      </c>
      <c r="S662">
        <v>46</v>
      </c>
      <c r="T662" s="9">
        <f t="shared" si="42"/>
        <v>-0.76990999175368746</v>
      </c>
    </row>
    <row r="663" spans="1:20" x14ac:dyDescent="0.25">
      <c r="A663">
        <v>662</v>
      </c>
      <c r="B663">
        <v>1</v>
      </c>
      <c r="C663">
        <v>199</v>
      </c>
      <c r="D663">
        <v>76</v>
      </c>
      <c r="E663">
        <v>43</v>
      </c>
      <c r="F663">
        <v>0</v>
      </c>
      <c r="G663">
        <v>42.9</v>
      </c>
      <c r="H663">
        <v>1.3939999999999999</v>
      </c>
      <c r="I663">
        <v>22</v>
      </c>
      <c r="J663">
        <v>1</v>
      </c>
      <c r="K663" t="str">
        <f xml:space="preserve"> IF(COUNTIF($D$2:$D1417,$D$3)&gt;1,"duplicated","original")</f>
        <v>duplicated</v>
      </c>
      <c r="L663" s="2">
        <f>COUNTIF($D$2:$D663,D663)</f>
        <v>33</v>
      </c>
      <c r="M663" t="str">
        <f xml:space="preserve"> IF(COUNTIF($I$2:$I1417,I663)&gt;1,"duplicated","original")</f>
        <v>duplicated</v>
      </c>
      <c r="N663" s="2">
        <f>COUNTIF($I$2:$I663,I663)</f>
        <v>58</v>
      </c>
      <c r="O663" s="8">
        <f t="shared" si="40"/>
        <v>2.642800658126824</v>
      </c>
      <c r="P663" s="8">
        <f t="shared" si="41"/>
        <v>3.3503682618851132</v>
      </c>
      <c r="Q663">
        <v>85</v>
      </c>
      <c r="R663" s="9">
        <f t="shared" si="43"/>
        <v>0.81958375496980351</v>
      </c>
      <c r="S663">
        <v>46</v>
      </c>
      <c r="T663" s="9">
        <f t="shared" si="42"/>
        <v>-2.4106777303069684</v>
      </c>
    </row>
    <row r="664" spans="1:20" x14ac:dyDescent="0.25">
      <c r="A664">
        <v>663</v>
      </c>
      <c r="B664">
        <v>8</v>
      </c>
      <c r="C664">
        <v>167</v>
      </c>
      <c r="D664">
        <v>106</v>
      </c>
      <c r="E664">
        <v>46</v>
      </c>
      <c r="F664">
        <v>231</v>
      </c>
      <c r="G664">
        <v>37.6</v>
      </c>
      <c r="H664">
        <v>0.16500000000000001</v>
      </c>
      <c r="I664">
        <v>43</v>
      </c>
      <c r="J664">
        <v>1</v>
      </c>
      <c r="K664" t="str">
        <f xml:space="preserve"> IF(COUNTIF($D$2:$D1432,D664)&gt;1,"duplicated","original")</f>
        <v>duplicated</v>
      </c>
      <c r="L664" s="2">
        <f>COUNTIF($D$2:$D664,D664)</f>
        <v>2</v>
      </c>
      <c r="M664" t="str">
        <f xml:space="preserve"> IF(COUNTIF($I$2:$I1432,I664)&gt;1,"duplicated","original")</f>
        <v>duplicated</v>
      </c>
      <c r="N664" s="2">
        <f>COUNTIF($I$2:$I664,I664)</f>
        <v>9</v>
      </c>
      <c r="O664" s="8">
        <f t="shared" si="40"/>
        <v>6.081479698115877</v>
      </c>
      <c r="P664" s="8">
        <f t="shared" si="41"/>
        <v>3.1265048392338888</v>
      </c>
      <c r="Q664">
        <v>85</v>
      </c>
      <c r="R664" s="9">
        <f t="shared" si="43"/>
        <v>0.81958375496980351</v>
      </c>
      <c r="S664">
        <v>46</v>
      </c>
      <c r="T664" s="9">
        <f t="shared" si="42"/>
        <v>-1.3339239018813778</v>
      </c>
    </row>
    <row r="665" spans="1:20" x14ac:dyDescent="0.25">
      <c r="A665">
        <v>664</v>
      </c>
      <c r="B665">
        <v>9</v>
      </c>
      <c r="C665">
        <v>145</v>
      </c>
      <c r="D665">
        <v>80</v>
      </c>
      <c r="E665">
        <v>46</v>
      </c>
      <c r="F665">
        <v>130</v>
      </c>
      <c r="G665">
        <v>37.9</v>
      </c>
      <c r="H665">
        <v>0.63700000000000001</v>
      </c>
      <c r="I665">
        <v>40</v>
      </c>
      <c r="J665">
        <v>1</v>
      </c>
      <c r="K665" t="str">
        <f xml:space="preserve"> IF(COUNTIF($D$2:$D1433,D665)&gt;1,"duplicated","original")</f>
        <v>duplicated</v>
      </c>
      <c r="L665" s="2">
        <f>COUNTIF($D$2:$D665,D665)</f>
        <v>35</v>
      </c>
      <c r="M665" t="str">
        <f xml:space="preserve"> IF(COUNTIF($I$2:$I1433,I665)&gt;1,"duplicated","original")</f>
        <v>duplicated</v>
      </c>
      <c r="N665" s="2">
        <f>COUNTIF($I$2:$I665,I665)</f>
        <v>10</v>
      </c>
      <c r="O665" s="8">
        <f t="shared" si="40"/>
        <v>3.3142714612106796</v>
      </c>
      <c r="P665" s="8">
        <f t="shared" si="41"/>
        <v>2.6028892619074147</v>
      </c>
      <c r="Q665">
        <v>86</v>
      </c>
      <c r="R665" s="9">
        <f t="shared" si="43"/>
        <v>0.87085774679959349</v>
      </c>
      <c r="S665">
        <v>46</v>
      </c>
      <c r="T665" s="9">
        <f t="shared" si="42"/>
        <v>-1.4877458773707479</v>
      </c>
    </row>
    <row r="666" spans="1:20" x14ac:dyDescent="0.25">
      <c r="A666">
        <v>665</v>
      </c>
      <c r="B666">
        <v>6</v>
      </c>
      <c r="C666">
        <v>115</v>
      </c>
      <c r="D666">
        <v>60</v>
      </c>
      <c r="E666">
        <v>39</v>
      </c>
      <c r="F666">
        <v>0</v>
      </c>
      <c r="G666">
        <v>33.700000000000003</v>
      </c>
      <c r="H666">
        <v>0.245</v>
      </c>
      <c r="I666">
        <v>40</v>
      </c>
      <c r="J666">
        <v>1</v>
      </c>
      <c r="K666" t="str">
        <f xml:space="preserve"> IF(COUNTIF($D$2:$D1420,$D$3)&gt;1,"duplicated","original")</f>
        <v>duplicated</v>
      </c>
      <c r="L666" s="2">
        <f>COUNTIF($D$2:$D666,D666)</f>
        <v>31</v>
      </c>
      <c r="M666" t="str">
        <f xml:space="preserve"> IF(COUNTIF($I$2:$I1434,I666)&gt;1,"duplicated","original")</f>
        <v>duplicated</v>
      </c>
      <c r="N666" s="2">
        <f>COUNTIF($I$2:$I666,I666)</f>
        <v>11</v>
      </c>
      <c r="O666" s="8">
        <f t="shared" si="40"/>
        <v>3.002599653867366</v>
      </c>
      <c r="P666" s="8">
        <f t="shared" si="41"/>
        <v>2.6028892619074147</v>
      </c>
      <c r="Q666">
        <v>86</v>
      </c>
      <c r="R666" s="9">
        <f t="shared" si="43"/>
        <v>0.87085774679959349</v>
      </c>
      <c r="S666">
        <v>47</v>
      </c>
      <c r="T666" s="9">
        <f t="shared" si="42"/>
        <v>-1.4877458773707479</v>
      </c>
    </row>
    <row r="667" spans="1:20" x14ac:dyDescent="0.25">
      <c r="A667">
        <v>666</v>
      </c>
      <c r="B667">
        <v>1</v>
      </c>
      <c r="C667">
        <v>112</v>
      </c>
      <c r="D667">
        <v>80</v>
      </c>
      <c r="E667">
        <v>45</v>
      </c>
      <c r="F667">
        <v>132</v>
      </c>
      <c r="G667">
        <v>34.799999999999997</v>
      </c>
      <c r="H667">
        <v>0.217</v>
      </c>
      <c r="I667">
        <v>24</v>
      </c>
      <c r="J667">
        <v>0</v>
      </c>
      <c r="K667" t="str">
        <f xml:space="preserve"> IF(COUNTIF($D$2:$D1435,D667)&gt;1,"duplicated","original")</f>
        <v>duplicated</v>
      </c>
      <c r="L667" s="2">
        <f>COUNTIF($D$2:$D667,D667)</f>
        <v>36</v>
      </c>
      <c r="M667" t="str">
        <f xml:space="preserve"> IF(COUNTIF($I$2:$I1421,I667)&gt;1,"duplicated","original")</f>
        <v>duplicated</v>
      </c>
      <c r="N667" s="2">
        <f>COUNTIF($I$2:$I667,I667)</f>
        <v>43</v>
      </c>
      <c r="O667" s="8">
        <f t="shared" si="40"/>
        <v>3.3142714612106796</v>
      </c>
      <c r="P667" s="8">
        <f t="shared" si="41"/>
        <v>3.0372631578852487</v>
      </c>
      <c r="Q667">
        <v>86</v>
      </c>
      <c r="R667" s="9">
        <f t="shared" si="43"/>
        <v>0.87085774679959349</v>
      </c>
      <c r="S667">
        <v>47</v>
      </c>
      <c r="T667" s="9">
        <f t="shared" si="42"/>
        <v>-2.3081297466473885</v>
      </c>
    </row>
    <row r="668" spans="1:20" x14ac:dyDescent="0.25">
      <c r="A668">
        <v>667</v>
      </c>
      <c r="B668">
        <v>4</v>
      </c>
      <c r="C668">
        <v>145</v>
      </c>
      <c r="D668">
        <v>82</v>
      </c>
      <c r="E668">
        <v>18</v>
      </c>
      <c r="F668">
        <v>0</v>
      </c>
      <c r="G668">
        <v>32.5</v>
      </c>
      <c r="H668">
        <v>0.23499999999999999</v>
      </c>
      <c r="I668">
        <v>70</v>
      </c>
      <c r="J668">
        <v>1</v>
      </c>
      <c r="K668" t="str">
        <f xml:space="preserve"> IF(COUNTIF($D$2:$D1436,D668)&gt;1,"duplicated","original")</f>
        <v>duplicated</v>
      </c>
      <c r="L668" s="2">
        <f>COUNTIF($D$2:$D668,D668)</f>
        <v>27</v>
      </c>
      <c r="M668" t="str">
        <f xml:space="preserve"> IF(COUNTIF($I$2:$I1436,I668)&gt;1,"duplicated","original")</f>
        <v>original</v>
      </c>
      <c r="N668" s="2">
        <f>COUNTIF($I$2:$I668,I668)</f>
        <v>1</v>
      </c>
      <c r="O668" s="8">
        <f t="shared" si="40"/>
        <v>3.6033866457258754</v>
      </c>
      <c r="P668" s="8">
        <f t="shared" si="41"/>
        <v>6.0642421216301159</v>
      </c>
      <c r="Q668">
        <v>86</v>
      </c>
      <c r="R668" s="9">
        <f t="shared" si="43"/>
        <v>0.87085774679959349</v>
      </c>
      <c r="S668">
        <v>47</v>
      </c>
      <c r="T668" s="9">
        <f t="shared" si="42"/>
        <v>5.0473877522953021E-2</v>
      </c>
    </row>
    <row r="669" spans="1:20" x14ac:dyDescent="0.25">
      <c r="A669">
        <v>668</v>
      </c>
      <c r="B669">
        <v>10</v>
      </c>
      <c r="C669">
        <v>111</v>
      </c>
      <c r="D669">
        <v>70</v>
      </c>
      <c r="E669">
        <v>27</v>
      </c>
      <c r="F669">
        <v>0</v>
      </c>
      <c r="G669">
        <v>27.5</v>
      </c>
      <c r="H669">
        <v>0.14099999999999999</v>
      </c>
      <c r="I669">
        <v>40</v>
      </c>
      <c r="J669">
        <v>1</v>
      </c>
      <c r="K669" t="str">
        <f xml:space="preserve"> IF(COUNTIF($D$2:$D1423,$D$3)&gt;1,"duplicated","original")</f>
        <v>duplicated</v>
      </c>
      <c r="L669" s="2">
        <f>COUNTIF($D$2:$D669,D669)</f>
        <v>50</v>
      </c>
      <c r="M669" t="str">
        <f xml:space="preserve"> IF(COUNTIF($I$2:$I1437,I669)&gt;1,"duplicated","original")</f>
        <v>duplicated</v>
      </c>
      <c r="N669" s="2">
        <f>COUNTIF($I$2:$I669,I669)</f>
        <v>12</v>
      </c>
      <c r="O669" s="8">
        <f t="shared" si="40"/>
        <v>0.99216698120607405</v>
      </c>
      <c r="P669" s="8">
        <f t="shared" si="41"/>
        <v>2.6028892619074147</v>
      </c>
      <c r="Q669">
        <v>86</v>
      </c>
      <c r="R669" s="9">
        <f t="shared" si="43"/>
        <v>0.87085774679959349</v>
      </c>
      <c r="S669">
        <v>47</v>
      </c>
      <c r="T669" s="9">
        <f t="shared" si="42"/>
        <v>-1.4877458773707479</v>
      </c>
    </row>
    <row r="670" spans="1:20" x14ac:dyDescent="0.25">
      <c r="A670">
        <v>669</v>
      </c>
      <c r="B670">
        <v>6</v>
      </c>
      <c r="C670">
        <v>98</v>
      </c>
      <c r="D670">
        <v>58</v>
      </c>
      <c r="E670">
        <v>33</v>
      </c>
      <c r="F670">
        <v>190</v>
      </c>
      <c r="G670">
        <v>34</v>
      </c>
      <c r="H670">
        <v>0.43</v>
      </c>
      <c r="I670">
        <v>43</v>
      </c>
      <c r="J670">
        <v>0</v>
      </c>
      <c r="K670" t="str">
        <f xml:space="preserve"> IF(COUNTIF($D$2:$D1438,D670)&gt;1,"duplicated","original")</f>
        <v>duplicated</v>
      </c>
      <c r="L670" s="2">
        <f>COUNTIF($D$2:$D670,D670)</f>
        <v>16</v>
      </c>
      <c r="M670" t="str">
        <f xml:space="preserve"> IF(COUNTIF($I$2:$I1438,I670)&gt;1,"duplicated","original")</f>
        <v>duplicated</v>
      </c>
      <c r="N670" s="2">
        <f>COUNTIF($I$2:$I670,I670)</f>
        <v>10</v>
      </c>
      <c r="O670" s="8">
        <f t="shared" si="40"/>
        <v>3.3189764508662045</v>
      </c>
      <c r="P670" s="8">
        <f t="shared" si="41"/>
        <v>3.1265048392338888</v>
      </c>
      <c r="Q670">
        <v>86</v>
      </c>
      <c r="R670" s="9">
        <f t="shared" si="43"/>
        <v>0.87085774679959349</v>
      </c>
      <c r="S670">
        <v>47</v>
      </c>
      <c r="T670" s="9">
        <f t="shared" si="42"/>
        <v>-1.3339239018813778</v>
      </c>
    </row>
    <row r="671" spans="1:20" x14ac:dyDescent="0.25">
      <c r="A671">
        <v>670</v>
      </c>
      <c r="B671">
        <v>9</v>
      </c>
      <c r="C671">
        <v>154</v>
      </c>
      <c r="D671">
        <v>78</v>
      </c>
      <c r="E671">
        <v>30</v>
      </c>
      <c r="F671">
        <v>100</v>
      </c>
      <c r="G671">
        <v>30.9</v>
      </c>
      <c r="H671">
        <v>0.16400000000000001</v>
      </c>
      <c r="I671">
        <v>45</v>
      </c>
      <c r="J671">
        <v>0</v>
      </c>
      <c r="K671" t="str">
        <f xml:space="preserve"> IF(COUNTIF($D$2:$D1439,D671)&gt;1,"duplicated","original")</f>
        <v>duplicated</v>
      </c>
      <c r="L671" s="2">
        <f>COUNTIF($D$2:$D671,D671)</f>
        <v>36</v>
      </c>
      <c r="M671" t="str">
        <f xml:space="preserve"> IF(COUNTIF($I$2:$I1425,I671)&gt;1,"duplicated","original")</f>
        <v>duplicated</v>
      </c>
      <c r="N671" s="2">
        <f>COUNTIF($I$2:$I671,I671)</f>
        <v>11</v>
      </c>
      <c r="O671" s="8">
        <f t="shared" si="40"/>
        <v>2.9973980914445737</v>
      </c>
      <c r="P671" s="8">
        <f t="shared" si="41"/>
        <v>3.4314767243495803</v>
      </c>
      <c r="Q671">
        <v>86</v>
      </c>
      <c r="R671" s="9">
        <f t="shared" si="43"/>
        <v>0.87085774679959349</v>
      </c>
      <c r="S671">
        <v>47</v>
      </c>
      <c r="T671" s="9">
        <f t="shared" si="42"/>
        <v>-1.2313759182217978</v>
      </c>
    </row>
    <row r="672" spans="1:20" x14ac:dyDescent="0.25">
      <c r="A672">
        <v>671</v>
      </c>
      <c r="B672">
        <v>6</v>
      </c>
      <c r="C672">
        <v>165</v>
      </c>
      <c r="D672">
        <v>68</v>
      </c>
      <c r="E672">
        <v>26</v>
      </c>
      <c r="F672">
        <v>168</v>
      </c>
      <c r="G672">
        <v>33.6</v>
      </c>
      <c r="H672">
        <v>0.63100000000000001</v>
      </c>
      <c r="I672">
        <v>49</v>
      </c>
      <c r="J672">
        <v>0</v>
      </c>
      <c r="K672" t="str">
        <f xml:space="preserve"> IF(COUNTIF($D$2:$D1426,$D$3)&gt;1,"duplicated","original")</f>
        <v>duplicated</v>
      </c>
      <c r="L672" s="2">
        <f>COUNTIF($D$2:$D672,D672)</f>
        <v>43</v>
      </c>
      <c r="M672" t="str">
        <f xml:space="preserve"> IF(COUNTIF($I$2:$I1440,I672)&gt;1,"duplicated","original")</f>
        <v>duplicated</v>
      </c>
      <c r="N672" s="2">
        <f>COUNTIF($I$2:$I672,I672)</f>
        <v>4</v>
      </c>
      <c r="O672" s="8">
        <f t="shared" si="40"/>
        <v>1.0077721376404618</v>
      </c>
      <c r="P672" s="8">
        <f t="shared" si="41"/>
        <v>3.9717795142420638</v>
      </c>
      <c r="Q672">
        <v>86</v>
      </c>
      <c r="R672" s="9">
        <f t="shared" si="43"/>
        <v>0.87085774679959349</v>
      </c>
      <c r="S672">
        <v>48</v>
      </c>
      <c r="T672" s="9">
        <f t="shared" si="42"/>
        <v>-1.0262799509026377</v>
      </c>
    </row>
    <row r="673" spans="1:20" x14ac:dyDescent="0.25">
      <c r="A673">
        <v>672</v>
      </c>
      <c r="B673">
        <v>1</v>
      </c>
      <c r="C673">
        <v>99</v>
      </c>
      <c r="D673">
        <v>58</v>
      </c>
      <c r="E673">
        <v>10</v>
      </c>
      <c r="F673">
        <v>0</v>
      </c>
      <c r="G673">
        <v>25.4</v>
      </c>
      <c r="H673">
        <v>0.55100000000000005</v>
      </c>
      <c r="I673">
        <v>21</v>
      </c>
      <c r="J673">
        <v>0</v>
      </c>
      <c r="K673" t="str">
        <f xml:space="preserve"> IF(COUNTIF($D$2:$D1441,D673)&gt;1,"duplicated","original")</f>
        <v>duplicated</v>
      </c>
      <c r="L673" s="2">
        <f>COUNTIF($D$2:$D673,D673)</f>
        <v>17</v>
      </c>
      <c r="M673" t="str">
        <f xml:space="preserve"> IF(COUNTIF($I$2:$I1441,I673)&gt;1,"duplicated","original")</f>
        <v>duplicated</v>
      </c>
      <c r="N673" s="2">
        <f>COUNTIF($I$2:$I673,I673)</f>
        <v>59</v>
      </c>
      <c r="O673" s="8">
        <f t="shared" si="40"/>
        <v>3.3189764508662045</v>
      </c>
      <c r="P673" s="8">
        <f t="shared" si="41"/>
        <v>3.4964220984096119</v>
      </c>
      <c r="Q673">
        <v>86</v>
      </c>
      <c r="R673" s="9">
        <f t="shared" si="43"/>
        <v>0.87085774679959349</v>
      </c>
      <c r="S673">
        <v>48</v>
      </c>
      <c r="T673" s="9">
        <f t="shared" si="42"/>
        <v>-2.4619517221367584</v>
      </c>
    </row>
    <row r="674" spans="1:20" x14ac:dyDescent="0.25">
      <c r="A674">
        <v>673</v>
      </c>
      <c r="B674">
        <v>10</v>
      </c>
      <c r="C674">
        <v>68</v>
      </c>
      <c r="D674">
        <v>106</v>
      </c>
      <c r="E674">
        <v>23</v>
      </c>
      <c r="F674">
        <v>49</v>
      </c>
      <c r="G674">
        <v>35.5</v>
      </c>
      <c r="H674">
        <v>0.28499999999999998</v>
      </c>
      <c r="I674">
        <v>47</v>
      </c>
      <c r="J674">
        <v>0</v>
      </c>
      <c r="K674" t="str">
        <f xml:space="preserve"> IF(COUNTIF($D$2:$D1442,D674)&gt;1,"duplicated","original")</f>
        <v>duplicated</v>
      </c>
      <c r="L674" s="2">
        <f>COUNTIF($D$2:$D674,D674)</f>
        <v>3</v>
      </c>
      <c r="M674" t="str">
        <f xml:space="preserve"> IF(COUNTIF($I$2:$I1442,I674)&gt;1,"duplicated","original")</f>
        <v>duplicated</v>
      </c>
      <c r="N674" s="2">
        <f>COUNTIF($I$2:$I674,I674)</f>
        <v>5</v>
      </c>
      <c r="O674" s="8">
        <f t="shared" si="40"/>
        <v>6.081479698115877</v>
      </c>
      <c r="P674" s="8">
        <f t="shared" si="41"/>
        <v>3.7114730916110554</v>
      </c>
      <c r="Q674">
        <v>86</v>
      </c>
      <c r="R674" s="9">
        <f t="shared" si="43"/>
        <v>0.87085774679959349</v>
      </c>
      <c r="S674">
        <v>48</v>
      </c>
      <c r="T674" s="9">
        <f t="shared" si="42"/>
        <v>-1.1288279345622176</v>
      </c>
    </row>
    <row r="675" spans="1:20" x14ac:dyDescent="0.25">
      <c r="A675">
        <v>674</v>
      </c>
      <c r="B675">
        <v>3</v>
      </c>
      <c r="C675">
        <v>123</v>
      </c>
      <c r="D675">
        <v>100</v>
      </c>
      <c r="E675">
        <v>35</v>
      </c>
      <c r="F675">
        <v>240</v>
      </c>
      <c r="G675">
        <v>57.3</v>
      </c>
      <c r="H675">
        <v>0.88</v>
      </c>
      <c r="I675">
        <v>22</v>
      </c>
      <c r="J675">
        <v>0</v>
      </c>
      <c r="K675" t="str">
        <f xml:space="preserve"> IF(COUNTIF($D$2:$D1429,$D$3)&gt;1,"duplicated","original")</f>
        <v>duplicated</v>
      </c>
      <c r="L675" s="2">
        <f>COUNTIF($D$2:$D675,D675)</f>
        <v>3</v>
      </c>
      <c r="M675" t="str">
        <f xml:space="preserve"> IF(COUNTIF($I$2:$I1429,I675)&gt;1,"duplicated","original")</f>
        <v>duplicated</v>
      </c>
      <c r="N675" s="2">
        <f>COUNTIF($I$2:$I675,I675)</f>
        <v>59</v>
      </c>
      <c r="O675" s="8">
        <f t="shared" si="40"/>
        <v>5.5663628446765463</v>
      </c>
      <c r="P675" s="8">
        <f t="shared" si="41"/>
        <v>3.3503682618851132</v>
      </c>
      <c r="Q675">
        <v>86</v>
      </c>
      <c r="R675" s="9">
        <f t="shared" si="43"/>
        <v>0.87085774679959349</v>
      </c>
      <c r="S675">
        <v>48</v>
      </c>
      <c r="T675" s="9">
        <f t="shared" si="42"/>
        <v>-2.4106777303069684</v>
      </c>
    </row>
    <row r="676" spans="1:20" x14ac:dyDescent="0.25">
      <c r="A676">
        <v>675</v>
      </c>
      <c r="B676">
        <v>8</v>
      </c>
      <c r="C676">
        <v>91</v>
      </c>
      <c r="D676">
        <v>82</v>
      </c>
      <c r="E676">
        <v>0</v>
      </c>
      <c r="F676">
        <v>0</v>
      </c>
      <c r="G676">
        <v>35.6</v>
      </c>
      <c r="H676">
        <v>0.58699999999999997</v>
      </c>
      <c r="I676">
        <v>68</v>
      </c>
      <c r="J676">
        <v>0</v>
      </c>
      <c r="K676" t="str">
        <f xml:space="preserve"> IF(COUNTIF($D$2:$D1444,D676)&gt;1,"duplicated","original")</f>
        <v>duplicated</v>
      </c>
      <c r="L676" s="2">
        <f>COUNTIF($D$2:$D676,D676)</f>
        <v>28</v>
      </c>
      <c r="M676" t="str">
        <f xml:space="preserve"> IF(COUNTIF($I$2:$I1444,I676)&gt;1,"duplicated","original")</f>
        <v>original</v>
      </c>
      <c r="N676" s="2">
        <f>COUNTIF($I$2:$I676,I676)</f>
        <v>1</v>
      </c>
      <c r="O676" s="8">
        <f t="shared" si="40"/>
        <v>3.6033866457258754</v>
      </c>
      <c r="P676" s="8">
        <f t="shared" si="41"/>
        <v>5.8970359088064681</v>
      </c>
      <c r="Q676">
        <v>86</v>
      </c>
      <c r="R676" s="9">
        <f t="shared" si="43"/>
        <v>0.87085774679959349</v>
      </c>
      <c r="S676">
        <v>48</v>
      </c>
      <c r="T676" s="9">
        <f t="shared" si="42"/>
        <v>-5.2074106136627045E-2</v>
      </c>
    </row>
    <row r="677" spans="1:20" x14ac:dyDescent="0.25">
      <c r="A677">
        <v>676</v>
      </c>
      <c r="B677">
        <v>6</v>
      </c>
      <c r="C677">
        <v>195</v>
      </c>
      <c r="D677">
        <v>70</v>
      </c>
      <c r="E677">
        <v>0</v>
      </c>
      <c r="F677">
        <v>0</v>
      </c>
      <c r="G677">
        <v>30.9</v>
      </c>
      <c r="H677">
        <v>0.32800000000000001</v>
      </c>
      <c r="I677">
        <v>31</v>
      </c>
      <c r="J677">
        <v>1</v>
      </c>
      <c r="K677" t="str">
        <f xml:space="preserve"> IF(COUNTIF($D$2:$D1445,D677)&gt;1,"duplicated","original")</f>
        <v>duplicated</v>
      </c>
      <c r="L677" s="2">
        <f>COUNTIF($D$2:$D677,D677)</f>
        <v>51</v>
      </c>
      <c r="M677" t="str">
        <f xml:space="preserve"> IF(COUNTIF($I$2:$I1445,I677)&gt;1,"duplicated","original")</f>
        <v>duplicated</v>
      </c>
      <c r="N677" s="2">
        <f>COUNTIF($I$2:$I677,I677)</f>
        <v>22</v>
      </c>
      <c r="O677" s="8">
        <f t="shared" si="40"/>
        <v>0.99216698120607405</v>
      </c>
      <c r="P677" s="8">
        <f t="shared" si="41"/>
        <v>1.4916324916838848</v>
      </c>
      <c r="Q677">
        <v>86</v>
      </c>
      <c r="R677" s="9">
        <f t="shared" si="43"/>
        <v>0.87085774679959349</v>
      </c>
      <c r="S677">
        <v>49</v>
      </c>
      <c r="T677" s="9">
        <f t="shared" si="42"/>
        <v>-1.9492118038388582</v>
      </c>
    </row>
    <row r="678" spans="1:20" x14ac:dyDescent="0.25">
      <c r="A678">
        <v>677</v>
      </c>
      <c r="B678">
        <v>9</v>
      </c>
      <c r="C678">
        <v>156</v>
      </c>
      <c r="D678">
        <v>86</v>
      </c>
      <c r="E678">
        <v>0</v>
      </c>
      <c r="F678">
        <v>0</v>
      </c>
      <c r="G678">
        <v>24.8</v>
      </c>
      <c r="H678">
        <v>0.23</v>
      </c>
      <c r="I678">
        <v>53</v>
      </c>
      <c r="J678">
        <v>1</v>
      </c>
      <c r="K678" t="str">
        <f xml:space="preserve"> IF(COUNTIF($D$2:$D1432,$D$3)&gt;1,"duplicated","original")</f>
        <v>duplicated</v>
      </c>
      <c r="L678" s="2">
        <f>COUNTIF($D$2:$D678,D678)</f>
        <v>17</v>
      </c>
      <c r="M678" t="str">
        <f xml:space="preserve"> IF(COUNTIF($I$2:$I1446,I678)&gt;1,"duplicated","original")</f>
        <v>duplicated</v>
      </c>
      <c r="N678" s="2">
        <f>COUNTIF($I$2:$I678,I678)</f>
        <v>4</v>
      </c>
      <c r="O678" s="8">
        <f t="shared" si="40"/>
        <v>4.121212845582666</v>
      </c>
      <c r="P678" s="8">
        <f t="shared" si="41"/>
        <v>4.4469126941905355</v>
      </c>
      <c r="Q678">
        <v>86</v>
      </c>
      <c r="R678" s="9">
        <f t="shared" si="43"/>
        <v>0.87085774679959349</v>
      </c>
      <c r="S678">
        <v>49</v>
      </c>
      <c r="T678" s="9">
        <f t="shared" si="42"/>
        <v>-0.82118398358347755</v>
      </c>
    </row>
    <row r="679" spans="1:20" x14ac:dyDescent="0.25">
      <c r="A679">
        <v>678</v>
      </c>
      <c r="B679">
        <v>0</v>
      </c>
      <c r="C679">
        <v>93</v>
      </c>
      <c r="D679">
        <v>60</v>
      </c>
      <c r="E679">
        <v>0</v>
      </c>
      <c r="F679">
        <v>0</v>
      </c>
      <c r="G679">
        <v>35.299999999999997</v>
      </c>
      <c r="H679">
        <v>0.26300000000000001</v>
      </c>
      <c r="I679">
        <v>25</v>
      </c>
      <c r="J679">
        <v>0</v>
      </c>
      <c r="K679" t="str">
        <f xml:space="preserve"> IF(COUNTIF($D$2:$D1447,D679)&gt;1,"duplicated","original")</f>
        <v>duplicated</v>
      </c>
      <c r="L679" s="2">
        <f>COUNTIF($D$2:$D679,D679)</f>
        <v>32</v>
      </c>
      <c r="M679" t="str">
        <f xml:space="preserve"> IF(COUNTIF($I$2:$I1433,I679)&gt;1,"duplicated","original")</f>
        <v>duplicated</v>
      </c>
      <c r="N679" s="2">
        <f>COUNTIF($I$2:$I679,I679)</f>
        <v>43</v>
      </c>
      <c r="O679" s="8">
        <f t="shared" si="40"/>
        <v>3.002599653867366</v>
      </c>
      <c r="P679" s="8">
        <f t="shared" si="41"/>
        <v>2.8679204121186967</v>
      </c>
      <c r="Q679">
        <v>86</v>
      </c>
      <c r="R679" s="9">
        <f t="shared" si="43"/>
        <v>0.87085774679959349</v>
      </c>
      <c r="S679">
        <v>49</v>
      </c>
      <c r="T679" s="9">
        <f t="shared" si="42"/>
        <v>-2.2568557548175985</v>
      </c>
    </row>
    <row r="680" spans="1:20" x14ac:dyDescent="0.25">
      <c r="A680">
        <v>679</v>
      </c>
      <c r="B680">
        <v>3</v>
      </c>
      <c r="C680">
        <v>121</v>
      </c>
      <c r="D680">
        <v>52</v>
      </c>
      <c r="E680">
        <v>0</v>
      </c>
      <c r="F680">
        <v>0</v>
      </c>
      <c r="G680">
        <v>36</v>
      </c>
      <c r="H680">
        <v>0.127</v>
      </c>
      <c r="I680">
        <v>25</v>
      </c>
      <c r="J680">
        <v>1</v>
      </c>
      <c r="K680" t="str">
        <f xml:space="preserve"> IF(COUNTIF($D$2:$D1448,D680)&gt;1,"duplicated","original")</f>
        <v>duplicated</v>
      </c>
      <c r="L680" s="2">
        <f>COUNTIF($D$2:$D680,D680)</f>
        <v>10</v>
      </c>
      <c r="M680" t="str">
        <f xml:space="preserve"> IF(COUNTIF($I$2:$I1448,I680)&gt;1,"duplicated","original")</f>
        <v>duplicated</v>
      </c>
      <c r="N680" s="2">
        <f>COUNTIF($I$2:$I680,I680)</f>
        <v>44</v>
      </c>
      <c r="O680" s="8">
        <f t="shared" si="40"/>
        <v>4.1249975371391949</v>
      </c>
      <c r="P680" s="8">
        <f t="shared" si="41"/>
        <v>2.8679204121186967</v>
      </c>
      <c r="Q680">
        <v>86</v>
      </c>
      <c r="R680" s="9">
        <f t="shared" si="43"/>
        <v>0.87085774679959349</v>
      </c>
      <c r="S680">
        <v>49</v>
      </c>
      <c r="T680" s="9">
        <f t="shared" si="42"/>
        <v>-2.2568557548175985</v>
      </c>
    </row>
    <row r="681" spans="1:20" x14ac:dyDescent="0.25">
      <c r="A681">
        <v>680</v>
      </c>
      <c r="B681">
        <v>2</v>
      </c>
      <c r="C681">
        <v>101</v>
      </c>
      <c r="D681">
        <v>58</v>
      </c>
      <c r="E681">
        <v>17</v>
      </c>
      <c r="F681">
        <v>265</v>
      </c>
      <c r="G681">
        <v>24.2</v>
      </c>
      <c r="H681">
        <v>0.61399999999999999</v>
      </c>
      <c r="I681">
        <v>23</v>
      </c>
      <c r="J681">
        <v>0</v>
      </c>
      <c r="K681" t="str">
        <f xml:space="preserve"> IF(COUNTIF($D$2:$D1435,$D$3)&gt;1,"duplicated","original")</f>
        <v>duplicated</v>
      </c>
      <c r="L681" s="2">
        <f>COUNTIF($D$2:$D681,D681)</f>
        <v>18</v>
      </c>
      <c r="M681" t="str">
        <f xml:space="preserve"> IF(COUNTIF($I$2:$I1449,I681)&gt;1,"duplicated","original")</f>
        <v>duplicated</v>
      </c>
      <c r="N681" s="2">
        <f>COUNTIF($I$2:$I681,I681)</f>
        <v>34</v>
      </c>
      <c r="O681" s="8">
        <f t="shared" si="40"/>
        <v>3.3189764508662045</v>
      </c>
      <c r="P681" s="8">
        <f t="shared" si="41"/>
        <v>3.1976503076864229</v>
      </c>
      <c r="Q681">
        <v>86</v>
      </c>
      <c r="R681" s="9">
        <f t="shared" si="43"/>
        <v>0.87085774679959349</v>
      </c>
      <c r="S681">
        <v>49</v>
      </c>
      <c r="T681" s="9">
        <f t="shared" si="42"/>
        <v>-2.3594037384771784</v>
      </c>
    </row>
    <row r="682" spans="1:20" x14ac:dyDescent="0.25">
      <c r="A682">
        <v>681</v>
      </c>
      <c r="B682">
        <v>2</v>
      </c>
      <c r="C682">
        <v>56</v>
      </c>
      <c r="D682">
        <v>56</v>
      </c>
      <c r="E682">
        <v>28</v>
      </c>
      <c r="F682">
        <v>45</v>
      </c>
      <c r="G682">
        <v>24.2</v>
      </c>
      <c r="H682">
        <v>0.33200000000000002</v>
      </c>
      <c r="I682">
        <v>22</v>
      </c>
      <c r="J682">
        <v>0</v>
      </c>
      <c r="K682" t="str">
        <f xml:space="preserve"> IF(COUNTIF($D$2:$D1450,D682)&gt;1,"duplicated","original")</f>
        <v>duplicated</v>
      </c>
      <c r="L682" s="2">
        <f>COUNTIF($D$2:$D682,D682)</f>
        <v>11</v>
      </c>
      <c r="M682" t="str">
        <f xml:space="preserve"> IF(COUNTIF($I$2:$I1450,I682)&gt;1,"duplicated","original")</f>
        <v>duplicated</v>
      </c>
      <c r="N682" s="2">
        <f>COUNTIF($I$2:$I682,I682)</f>
        <v>60</v>
      </c>
      <c r="O682" s="8">
        <f t="shared" si="40"/>
        <v>3.6077146064239098</v>
      </c>
      <c r="P682" s="8">
        <f t="shared" si="41"/>
        <v>3.3503682618851132</v>
      </c>
      <c r="Q682">
        <v>86</v>
      </c>
      <c r="R682" s="9">
        <f t="shared" si="43"/>
        <v>0.87085774679959349</v>
      </c>
      <c r="S682">
        <v>50</v>
      </c>
      <c r="T682" s="9">
        <f t="shared" si="42"/>
        <v>-2.4106777303069684</v>
      </c>
    </row>
    <row r="683" spans="1:20" x14ac:dyDescent="0.25">
      <c r="A683">
        <v>682</v>
      </c>
      <c r="B683">
        <v>0</v>
      </c>
      <c r="C683">
        <v>162</v>
      </c>
      <c r="D683">
        <v>76</v>
      </c>
      <c r="E683">
        <v>36</v>
      </c>
      <c r="F683">
        <v>0</v>
      </c>
      <c r="G683">
        <v>49.6</v>
      </c>
      <c r="H683">
        <v>0.36399999999999999</v>
      </c>
      <c r="I683">
        <v>26</v>
      </c>
      <c r="J683">
        <v>1</v>
      </c>
      <c r="K683" t="str">
        <f xml:space="preserve"> IF(COUNTIF($D$2:$D1451,D683)&gt;1,"duplicated","original")</f>
        <v>duplicated</v>
      </c>
      <c r="L683" s="2">
        <f>COUNTIF($D$2:$D683,D683)</f>
        <v>34</v>
      </c>
      <c r="M683" t="str">
        <f xml:space="preserve"> IF(COUNTIF($I$2:$I1437,I683)&gt;1,"duplicated","original")</f>
        <v>duplicated</v>
      </c>
      <c r="N683" s="2">
        <f>COUNTIF($I$2:$I683,I683)</f>
        <v>28</v>
      </c>
      <c r="O683" s="8">
        <f t="shared" si="40"/>
        <v>2.642800658126824</v>
      </c>
      <c r="P683" s="8">
        <f t="shared" si="41"/>
        <v>2.6879299637912952</v>
      </c>
      <c r="Q683">
        <v>86</v>
      </c>
      <c r="R683" s="9">
        <f t="shared" si="43"/>
        <v>0.87085774679959349</v>
      </c>
      <c r="S683">
        <v>50</v>
      </c>
      <c r="T683" s="9">
        <f t="shared" si="42"/>
        <v>-2.2055817629878085</v>
      </c>
    </row>
    <row r="684" spans="1:20" x14ac:dyDescent="0.25">
      <c r="A684">
        <v>683</v>
      </c>
      <c r="B684">
        <v>0</v>
      </c>
      <c r="C684">
        <v>95</v>
      </c>
      <c r="D684">
        <v>64</v>
      </c>
      <c r="E684">
        <v>39</v>
      </c>
      <c r="F684">
        <v>105</v>
      </c>
      <c r="G684">
        <v>44.6</v>
      </c>
      <c r="H684">
        <v>0.36599999999999999</v>
      </c>
      <c r="I684">
        <v>22</v>
      </c>
      <c r="J684">
        <v>0</v>
      </c>
      <c r="K684" t="str">
        <f xml:space="preserve"> IF(COUNTIF($D$2:$D1438,$D$3)&gt;1,"duplicated","original")</f>
        <v>duplicated</v>
      </c>
      <c r="L684" s="2">
        <f>COUNTIF($D$2:$D684,D684)</f>
        <v>40</v>
      </c>
      <c r="M684" t="str">
        <f xml:space="preserve"> IF(COUNTIF($I$2:$I1452,I684)&gt;1,"duplicated","original")</f>
        <v>duplicated</v>
      </c>
      <c r="N684" s="2">
        <f>COUNTIF($I$2:$I684,I684)</f>
        <v>61</v>
      </c>
      <c r="O684" s="8">
        <f t="shared" si="40"/>
        <v>2.2395545720978594</v>
      </c>
      <c r="P684" s="8">
        <f t="shared" si="41"/>
        <v>3.3503682618851132</v>
      </c>
      <c r="Q684">
        <v>86</v>
      </c>
      <c r="R684" s="9">
        <f t="shared" si="43"/>
        <v>0.87085774679959349</v>
      </c>
      <c r="S684">
        <v>50</v>
      </c>
      <c r="T684" s="9">
        <f t="shared" si="42"/>
        <v>-2.4106777303069684</v>
      </c>
    </row>
    <row r="685" spans="1:20" x14ac:dyDescent="0.25">
      <c r="A685">
        <v>684</v>
      </c>
      <c r="B685">
        <v>4</v>
      </c>
      <c r="C685">
        <v>125</v>
      </c>
      <c r="D685">
        <v>80</v>
      </c>
      <c r="E685">
        <v>0</v>
      </c>
      <c r="F685">
        <v>0</v>
      </c>
      <c r="G685">
        <v>32.299999999999997</v>
      </c>
      <c r="H685">
        <v>0.53600000000000003</v>
      </c>
      <c r="I685">
        <v>27</v>
      </c>
      <c r="J685">
        <v>1</v>
      </c>
      <c r="K685" t="str">
        <f xml:space="preserve"> IF(COUNTIF($D$2:$D1453,D685)&gt;1,"duplicated","original")</f>
        <v>duplicated</v>
      </c>
      <c r="L685" s="2">
        <f>COUNTIF($D$2:$D685,D685)</f>
        <v>37</v>
      </c>
      <c r="M685" t="str">
        <f xml:space="preserve"> IF(COUNTIF($I$2:$I1453,I685)&gt;1,"duplicated","original")</f>
        <v>duplicated</v>
      </c>
      <c r="N685" s="2">
        <f>COUNTIF($I$2:$I685,I685)</f>
        <v>29</v>
      </c>
      <c r="O685" s="8">
        <f t="shared" si="40"/>
        <v>3.3142714612106796</v>
      </c>
      <c r="P685" s="8">
        <f t="shared" si="41"/>
        <v>2.4949884749727951</v>
      </c>
      <c r="Q685">
        <v>86</v>
      </c>
      <c r="R685" s="9">
        <f t="shared" si="43"/>
        <v>0.87085774679959349</v>
      </c>
      <c r="S685">
        <v>50</v>
      </c>
      <c r="T685" s="9">
        <f t="shared" si="42"/>
        <v>-2.1543077711580185</v>
      </c>
    </row>
    <row r="686" spans="1:20" x14ac:dyDescent="0.25">
      <c r="A686">
        <v>685</v>
      </c>
      <c r="B686">
        <v>5</v>
      </c>
      <c r="C686">
        <v>136</v>
      </c>
      <c r="D686">
        <v>82</v>
      </c>
      <c r="E686">
        <v>0</v>
      </c>
      <c r="F686">
        <v>0</v>
      </c>
      <c r="G686">
        <v>0</v>
      </c>
      <c r="H686">
        <v>0.64</v>
      </c>
      <c r="I686">
        <v>69</v>
      </c>
      <c r="J686">
        <v>0</v>
      </c>
      <c r="K686" t="str">
        <f xml:space="preserve"> IF(COUNTIF($D$2:$D1454,D686)&gt;1,"duplicated","original")</f>
        <v>duplicated</v>
      </c>
      <c r="L686" s="2">
        <f>COUNTIF($D$2:$D686,D686)</f>
        <v>29</v>
      </c>
      <c r="M686" t="str">
        <f xml:space="preserve"> IF(COUNTIF($I$2:$I1454,I686)&gt;1,"duplicated","original")</f>
        <v>duplicated</v>
      </c>
      <c r="N686" s="2">
        <f>COUNTIF($I$2:$I686,I686)</f>
        <v>2</v>
      </c>
      <c r="O686" s="8">
        <f t="shared" si="40"/>
        <v>3.6033866457258754</v>
      </c>
      <c r="P686" s="8">
        <f t="shared" si="41"/>
        <v>5.9812233288644991</v>
      </c>
      <c r="Q686">
        <v>88</v>
      </c>
      <c r="R686" s="9">
        <f t="shared" si="43"/>
        <v>0.97340573045917356</v>
      </c>
      <c r="S686">
        <v>50</v>
      </c>
      <c r="T686" s="9">
        <f t="shared" si="42"/>
        <v>-8.0011430683701239E-4</v>
      </c>
    </row>
    <row r="687" spans="1:20" x14ac:dyDescent="0.25">
      <c r="A687">
        <v>686</v>
      </c>
      <c r="B687">
        <v>2</v>
      </c>
      <c r="C687">
        <v>129</v>
      </c>
      <c r="D687">
        <v>74</v>
      </c>
      <c r="E687">
        <v>26</v>
      </c>
      <c r="F687">
        <v>205</v>
      </c>
      <c r="G687">
        <v>33.200000000000003</v>
      </c>
      <c r="H687">
        <v>0.59099999999999997</v>
      </c>
      <c r="I687">
        <v>25</v>
      </c>
      <c r="J687">
        <v>0</v>
      </c>
      <c r="K687" t="str">
        <f xml:space="preserve"> IF(COUNTIF($D$2:$D1441,$D$3)&gt;1,"duplicated","original")</f>
        <v>duplicated</v>
      </c>
      <c r="L687" s="2">
        <f>COUNTIF($D$2:$D687,D687)</f>
        <v>46</v>
      </c>
      <c r="M687" t="str">
        <f xml:space="preserve"> IF(COUNTIF($I$2:$I1441,I687)&gt;1,"duplicated","original")</f>
        <v>duplicated</v>
      </c>
      <c r="N687" s="2">
        <f>COUNTIF($I$2:$I687,I687)</f>
        <v>45</v>
      </c>
      <c r="O687" s="8">
        <f t="shared" si="40"/>
        <v>2.2325759379236296</v>
      </c>
      <c r="P687" s="8">
        <f t="shared" si="41"/>
        <v>2.8679204121186967</v>
      </c>
      <c r="Q687">
        <v>88</v>
      </c>
      <c r="R687" s="9">
        <f t="shared" si="43"/>
        <v>0.97340573045917356</v>
      </c>
      <c r="S687">
        <v>50</v>
      </c>
      <c r="T687" s="9">
        <f t="shared" si="42"/>
        <v>-2.2568557548175985</v>
      </c>
    </row>
    <row r="688" spans="1:20" x14ac:dyDescent="0.25">
      <c r="A688">
        <v>687</v>
      </c>
      <c r="B688">
        <v>3</v>
      </c>
      <c r="C688">
        <v>130</v>
      </c>
      <c r="D688">
        <v>64</v>
      </c>
      <c r="E688">
        <v>0</v>
      </c>
      <c r="F688">
        <v>0</v>
      </c>
      <c r="G688">
        <v>23.1</v>
      </c>
      <c r="H688">
        <v>0.314</v>
      </c>
      <c r="I688">
        <v>22</v>
      </c>
      <c r="J688">
        <v>0</v>
      </c>
      <c r="K688" t="str">
        <f xml:space="preserve"> IF(COUNTIF($D$2:$D1456,D688)&gt;1,"duplicated","original")</f>
        <v>duplicated</v>
      </c>
      <c r="L688" s="2">
        <f>COUNTIF($D$2:$D688,D688)</f>
        <v>41</v>
      </c>
      <c r="M688" t="str">
        <f xml:space="preserve"> IF(COUNTIF($I$2:$I1456,I688)&gt;1,"duplicated","original")</f>
        <v>duplicated</v>
      </c>
      <c r="N688" s="2">
        <f>COUNTIF($I$2:$I688,I688)</f>
        <v>62</v>
      </c>
      <c r="O688" s="8">
        <f t="shared" si="40"/>
        <v>2.2395545720978594</v>
      </c>
      <c r="P688" s="8">
        <f t="shared" si="41"/>
        <v>3.3503682618851132</v>
      </c>
      <c r="Q688">
        <v>88</v>
      </c>
      <c r="R688" s="9">
        <f t="shared" si="43"/>
        <v>0.97340573045917356</v>
      </c>
      <c r="S688">
        <v>50</v>
      </c>
      <c r="T688" s="9">
        <f t="shared" si="42"/>
        <v>-2.4106777303069684</v>
      </c>
    </row>
    <row r="689" spans="1:20" x14ac:dyDescent="0.25">
      <c r="A689">
        <v>688</v>
      </c>
      <c r="B689">
        <v>1</v>
      </c>
      <c r="C689">
        <v>107</v>
      </c>
      <c r="D689">
        <v>50</v>
      </c>
      <c r="E689">
        <v>19</v>
      </c>
      <c r="F689">
        <v>0</v>
      </c>
      <c r="G689">
        <v>28.3</v>
      </c>
      <c r="H689">
        <v>0.18099999999999999</v>
      </c>
      <c r="I689">
        <v>29</v>
      </c>
      <c r="J689">
        <v>0</v>
      </c>
      <c r="K689" t="str">
        <f xml:space="preserve"> IF(COUNTIF($D$2:$D1457,D689)&gt;1,"duplicated","original")</f>
        <v>duplicated</v>
      </c>
      <c r="L689" s="2">
        <f>COUNTIF($D$2:$D689,D689)</f>
        <v>12</v>
      </c>
      <c r="M689" t="str">
        <f xml:space="preserve"> IF(COUNTIF($I$2:$I1457,I689)&gt;1,"duplicated","original")</f>
        <v>duplicated</v>
      </c>
      <c r="N689" s="2">
        <f>COUNTIF($I$2:$I689,I689)</f>
        <v>29</v>
      </c>
      <c r="O689" s="8">
        <f t="shared" si="40"/>
        <v>4.3606885558824793</v>
      </c>
      <c r="P689" s="8">
        <f t="shared" si="41"/>
        <v>2.0554725710276638</v>
      </c>
      <c r="Q689">
        <v>88</v>
      </c>
      <c r="R689" s="9">
        <f t="shared" si="43"/>
        <v>0.97340573045917356</v>
      </c>
      <c r="S689">
        <v>50</v>
      </c>
      <c r="T689" s="9">
        <f t="shared" si="42"/>
        <v>-2.0517597874984381</v>
      </c>
    </row>
    <row r="690" spans="1:20" x14ac:dyDescent="0.25">
      <c r="A690">
        <v>689</v>
      </c>
      <c r="B690">
        <v>1</v>
      </c>
      <c r="C690">
        <v>140</v>
      </c>
      <c r="D690">
        <v>74</v>
      </c>
      <c r="E690">
        <v>26</v>
      </c>
      <c r="F690">
        <v>180</v>
      </c>
      <c r="G690">
        <v>24.1</v>
      </c>
      <c r="H690">
        <v>0.82799999999999996</v>
      </c>
      <c r="I690">
        <v>23</v>
      </c>
      <c r="J690">
        <v>0</v>
      </c>
      <c r="K690" t="str">
        <f xml:space="preserve"> IF(COUNTIF($D$2:$D1444,$D$3)&gt;1,"duplicated","original")</f>
        <v>duplicated</v>
      </c>
      <c r="L690" s="2">
        <f>COUNTIF($D$2:$D690,D690)</f>
        <v>47</v>
      </c>
      <c r="M690" t="str">
        <f xml:space="preserve"> IF(COUNTIF($I$2:$I1458,I690)&gt;1,"duplicated","original")</f>
        <v>duplicated</v>
      </c>
      <c r="N690" s="2">
        <f>COUNTIF($I$2:$I690,I690)</f>
        <v>35</v>
      </c>
      <c r="O690" s="8">
        <f t="shared" si="40"/>
        <v>2.2325759379236296</v>
      </c>
      <c r="P690" s="8">
        <f t="shared" si="41"/>
        <v>3.1976503076864229</v>
      </c>
      <c r="Q690">
        <v>88</v>
      </c>
      <c r="R690" s="9">
        <f t="shared" si="43"/>
        <v>0.97340573045917356</v>
      </c>
      <c r="S690">
        <v>51</v>
      </c>
      <c r="T690" s="9">
        <f t="shared" si="42"/>
        <v>-2.3594037384771784</v>
      </c>
    </row>
    <row r="691" spans="1:20" x14ac:dyDescent="0.25">
      <c r="A691">
        <v>690</v>
      </c>
      <c r="B691">
        <v>1</v>
      </c>
      <c r="C691">
        <v>144</v>
      </c>
      <c r="D691">
        <v>82</v>
      </c>
      <c r="E691">
        <v>46</v>
      </c>
      <c r="F691">
        <v>180</v>
      </c>
      <c r="G691">
        <v>46.1</v>
      </c>
      <c r="H691">
        <v>0.33500000000000002</v>
      </c>
      <c r="I691">
        <v>46</v>
      </c>
      <c r="J691">
        <v>1</v>
      </c>
      <c r="K691" t="str">
        <f xml:space="preserve"> IF(COUNTIF($D$2:$D1459,D691)&gt;1,"duplicated","original")</f>
        <v>duplicated</v>
      </c>
      <c r="L691" s="2">
        <f>COUNTIF($D$2:$D691,D691)</f>
        <v>30</v>
      </c>
      <c r="M691" t="str">
        <f xml:space="preserve"> IF(COUNTIF($I$2:$I1445,I691)&gt;1,"duplicated","original")</f>
        <v>duplicated</v>
      </c>
      <c r="N691" s="2">
        <f>COUNTIF($I$2:$I691,I691)</f>
        <v>12</v>
      </c>
      <c r="O691" s="8">
        <f t="shared" si="40"/>
        <v>3.6033866457258754</v>
      </c>
      <c r="P691" s="8">
        <f t="shared" si="41"/>
        <v>3.5742177479489028</v>
      </c>
      <c r="Q691">
        <v>88</v>
      </c>
      <c r="R691" s="9">
        <f t="shared" si="43"/>
        <v>0.97340573045917356</v>
      </c>
      <c r="S691">
        <v>51</v>
      </c>
      <c r="T691" s="9">
        <f t="shared" si="42"/>
        <v>-1.1801019263920078</v>
      </c>
    </row>
    <row r="692" spans="1:20" x14ac:dyDescent="0.25">
      <c r="A692">
        <v>691</v>
      </c>
      <c r="B692">
        <v>8</v>
      </c>
      <c r="C692">
        <v>107</v>
      </c>
      <c r="D692">
        <v>80</v>
      </c>
      <c r="E692">
        <v>0</v>
      </c>
      <c r="F692">
        <v>0</v>
      </c>
      <c r="G692">
        <v>24.6</v>
      </c>
      <c r="H692">
        <v>0.85599999999999998</v>
      </c>
      <c r="I692">
        <v>34</v>
      </c>
      <c r="J692">
        <v>0</v>
      </c>
      <c r="K692" t="str">
        <f xml:space="preserve"> IF(COUNTIF($D$2:$D1460,D692)&gt;1,"duplicated","original")</f>
        <v>duplicated</v>
      </c>
      <c r="L692" s="2">
        <f>COUNTIF($D$2:$D692,D692)</f>
        <v>38</v>
      </c>
      <c r="M692" t="str">
        <f xml:space="preserve"> IF(COUNTIF($I$2:$I1460,I692)&gt;1,"duplicated","original")</f>
        <v>duplicated</v>
      </c>
      <c r="N692" s="2">
        <f>COUNTIF($I$2:$I692,I692)</f>
        <v>11</v>
      </c>
      <c r="O692" s="8">
        <f t="shared" si="40"/>
        <v>3.3142714612106796</v>
      </c>
      <c r="P692" s="8">
        <f t="shared" si="41"/>
        <v>0.88035930718822164</v>
      </c>
      <c r="Q692">
        <v>88</v>
      </c>
      <c r="R692" s="9">
        <f t="shared" si="43"/>
        <v>0.97340573045917356</v>
      </c>
      <c r="S692">
        <v>51</v>
      </c>
      <c r="T692" s="9">
        <f t="shared" si="42"/>
        <v>-1.795389828349488</v>
      </c>
    </row>
    <row r="693" spans="1:20" x14ac:dyDescent="0.25">
      <c r="A693">
        <v>692</v>
      </c>
      <c r="B693">
        <v>13</v>
      </c>
      <c r="C693">
        <v>158</v>
      </c>
      <c r="D693">
        <v>114</v>
      </c>
      <c r="E693">
        <v>0</v>
      </c>
      <c r="F693">
        <v>0</v>
      </c>
      <c r="G693">
        <v>42.3</v>
      </c>
      <c r="H693">
        <v>0.25700000000000001</v>
      </c>
      <c r="I693">
        <v>44</v>
      </c>
      <c r="J693">
        <v>1</v>
      </c>
      <c r="K693" t="str">
        <f xml:space="preserve"> IF(COUNTIF($D$2:$D1447,$D$3)&gt;1,"duplicated","original")</f>
        <v>duplicated</v>
      </c>
      <c r="L693" s="2">
        <f>COUNTIF($D$2:$D693,D693)</f>
        <v>1</v>
      </c>
      <c r="M693" t="str">
        <f xml:space="preserve"> IF(COUNTIF($I$2:$I1461,I693)&gt;1,"duplicated","original")</f>
        <v>duplicated</v>
      </c>
      <c r="N693" s="2">
        <f>COUNTIF($I$2:$I693,I693)</f>
        <v>8</v>
      </c>
      <c r="O693" s="8">
        <f t="shared" si="40"/>
        <v>6.7070407273696775</v>
      </c>
      <c r="P693" s="8">
        <f t="shared" si="41"/>
        <v>3.282534464366357</v>
      </c>
      <c r="Q693">
        <v>88</v>
      </c>
      <c r="R693" s="9">
        <f t="shared" si="43"/>
        <v>0.97340573045917356</v>
      </c>
      <c r="S693">
        <v>51</v>
      </c>
      <c r="T693" s="9">
        <f t="shared" si="42"/>
        <v>-1.2826499100515878</v>
      </c>
    </row>
    <row r="694" spans="1:20" x14ac:dyDescent="0.25">
      <c r="A694">
        <v>693</v>
      </c>
      <c r="B694">
        <v>2</v>
      </c>
      <c r="C694">
        <v>121</v>
      </c>
      <c r="D694">
        <v>70</v>
      </c>
      <c r="E694">
        <v>32</v>
      </c>
      <c r="F694">
        <v>95</v>
      </c>
      <c r="G694">
        <v>39.1</v>
      </c>
      <c r="H694">
        <v>0.88600000000000001</v>
      </c>
      <c r="I694">
        <v>23</v>
      </c>
      <c r="J694">
        <v>0</v>
      </c>
      <c r="K694" t="str">
        <f xml:space="preserve"> IF(COUNTIF($D$2:$D1462,D694)&gt;1,"duplicated","original")</f>
        <v>duplicated</v>
      </c>
      <c r="L694" s="2">
        <f>COUNTIF($D$2:$D694,D694)</f>
        <v>52</v>
      </c>
      <c r="M694" t="str">
        <f xml:space="preserve"> IF(COUNTIF($I$2:$I1462,I694)&gt;1,"duplicated","original")</f>
        <v>duplicated</v>
      </c>
      <c r="N694" s="2">
        <f>COUNTIF($I$2:$I694,I694)</f>
        <v>36</v>
      </c>
      <c r="O694" s="8">
        <f t="shared" si="40"/>
        <v>0.99216698120607405</v>
      </c>
      <c r="P694" s="8">
        <f t="shared" si="41"/>
        <v>3.1976503076864229</v>
      </c>
      <c r="Q694">
        <v>88</v>
      </c>
      <c r="R694" s="9">
        <f t="shared" si="43"/>
        <v>0.97340573045917356</v>
      </c>
      <c r="S694">
        <v>51</v>
      </c>
      <c r="T694" s="9">
        <f t="shared" si="42"/>
        <v>-2.3594037384771784</v>
      </c>
    </row>
    <row r="695" spans="1:20" x14ac:dyDescent="0.25">
      <c r="A695">
        <v>694</v>
      </c>
      <c r="B695">
        <v>7</v>
      </c>
      <c r="C695">
        <v>129</v>
      </c>
      <c r="D695">
        <v>68</v>
      </c>
      <c r="E695">
        <v>49</v>
      </c>
      <c r="F695">
        <v>125</v>
      </c>
      <c r="G695">
        <v>38.5</v>
      </c>
      <c r="H695">
        <v>0.439</v>
      </c>
      <c r="I695">
        <v>43</v>
      </c>
      <c r="J695">
        <v>1</v>
      </c>
      <c r="K695" t="str">
        <f xml:space="preserve"> IF(COUNTIF($D$2:$D1463,D695)&gt;1,"duplicated","original")</f>
        <v>duplicated</v>
      </c>
      <c r="L695" s="2">
        <f>COUNTIF($D$2:$D695,D695)</f>
        <v>44</v>
      </c>
      <c r="M695" t="str">
        <f xml:space="preserve"> IF(COUNTIF($I$2:$I1449,I695)&gt;1,"duplicated","original")</f>
        <v>duplicated</v>
      </c>
      <c r="N695" s="2">
        <f>COUNTIF($I$2:$I695,I695)</f>
        <v>11</v>
      </c>
      <c r="O695" s="8">
        <f t="shared" si="40"/>
        <v>1.0077721376404618</v>
      </c>
      <c r="P695" s="8">
        <f t="shared" si="41"/>
        <v>3.1265048392338888</v>
      </c>
      <c r="Q695">
        <v>88</v>
      </c>
      <c r="R695" s="9">
        <f t="shared" si="43"/>
        <v>0.97340573045917356</v>
      </c>
      <c r="S695">
        <v>51</v>
      </c>
      <c r="T695" s="9">
        <f t="shared" si="42"/>
        <v>-1.3339239018813778</v>
      </c>
    </row>
    <row r="696" spans="1:20" x14ac:dyDescent="0.25">
      <c r="A696">
        <v>695</v>
      </c>
      <c r="B696">
        <v>2</v>
      </c>
      <c r="C696">
        <v>90</v>
      </c>
      <c r="D696">
        <v>60</v>
      </c>
      <c r="E696">
        <v>0</v>
      </c>
      <c r="F696">
        <v>0</v>
      </c>
      <c r="G696">
        <v>23.5</v>
      </c>
      <c r="H696">
        <v>0.191</v>
      </c>
      <c r="I696">
        <v>25</v>
      </c>
      <c r="J696">
        <v>0</v>
      </c>
      <c r="K696" t="str">
        <f xml:space="preserve"> IF(COUNTIF($D$2:$D1450,$D$3)&gt;1,"duplicated","original")</f>
        <v>duplicated</v>
      </c>
      <c r="L696" s="2">
        <f>COUNTIF($D$2:$D696,D696)</f>
        <v>33</v>
      </c>
      <c r="M696" t="str">
        <f xml:space="preserve"> IF(COUNTIF($I$2:$I1464,I696)&gt;1,"duplicated","original")</f>
        <v>duplicated</v>
      </c>
      <c r="N696" s="2">
        <f>COUNTIF($I$2:$I696,I696)</f>
        <v>46</v>
      </c>
      <c r="O696" s="8">
        <f t="shared" si="40"/>
        <v>3.002599653867366</v>
      </c>
      <c r="P696" s="8">
        <f t="shared" si="41"/>
        <v>2.8679204121186967</v>
      </c>
      <c r="Q696">
        <v>88</v>
      </c>
      <c r="R696" s="9">
        <f t="shared" si="43"/>
        <v>0.97340573045917356</v>
      </c>
      <c r="S696">
        <v>51</v>
      </c>
      <c r="T696" s="9">
        <f t="shared" si="42"/>
        <v>-2.2568557548175985</v>
      </c>
    </row>
    <row r="697" spans="1:20" x14ac:dyDescent="0.25">
      <c r="A697">
        <v>696</v>
      </c>
      <c r="B697">
        <v>7</v>
      </c>
      <c r="C697">
        <v>142</v>
      </c>
      <c r="D697">
        <v>90</v>
      </c>
      <c r="E697">
        <v>24</v>
      </c>
      <c r="F697">
        <v>480</v>
      </c>
      <c r="G697">
        <v>30.4</v>
      </c>
      <c r="H697">
        <v>0.128</v>
      </c>
      <c r="I697">
        <v>43</v>
      </c>
      <c r="J697">
        <v>1</v>
      </c>
      <c r="K697" t="str">
        <f xml:space="preserve"> IF(COUNTIF($D$2:$D1465,D697)&gt;1,"duplicated","original")</f>
        <v>duplicated</v>
      </c>
      <c r="L697" s="2">
        <f>COUNTIF($D$2:$D697,D697)</f>
        <v>21</v>
      </c>
      <c r="M697" t="str">
        <f xml:space="preserve"> IF(COUNTIF($I$2:$I1465,I697)&gt;1,"duplicated","original")</f>
        <v>duplicated</v>
      </c>
      <c r="N697" s="2">
        <f>COUNTIF($I$2:$I697,I697)</f>
        <v>12</v>
      </c>
      <c r="O697" s="8">
        <f t="shared" si="40"/>
        <v>4.5808727682173815</v>
      </c>
      <c r="P697" s="8">
        <f t="shared" si="41"/>
        <v>3.1265048392338888</v>
      </c>
      <c r="Q697">
        <v>88</v>
      </c>
      <c r="R697" s="9">
        <f t="shared" si="43"/>
        <v>0.97340573045917356</v>
      </c>
      <c r="S697">
        <v>51</v>
      </c>
      <c r="T697" s="9">
        <f t="shared" si="42"/>
        <v>-1.3339239018813778</v>
      </c>
    </row>
    <row r="698" spans="1:20" x14ac:dyDescent="0.25">
      <c r="A698">
        <v>697</v>
      </c>
      <c r="B698">
        <v>3</v>
      </c>
      <c r="C698">
        <v>169</v>
      </c>
      <c r="D698">
        <v>74</v>
      </c>
      <c r="E698">
        <v>19</v>
      </c>
      <c r="F698">
        <v>125</v>
      </c>
      <c r="G698">
        <v>29.9</v>
      </c>
      <c r="H698">
        <v>0.26800000000000002</v>
      </c>
      <c r="I698">
        <v>31</v>
      </c>
      <c r="J698">
        <v>1</v>
      </c>
      <c r="K698" t="str">
        <f xml:space="preserve"> IF(COUNTIF($D$2:$D1466,D698)&gt;1,"duplicated","original")</f>
        <v>duplicated</v>
      </c>
      <c r="L698" s="2">
        <f>COUNTIF($D$2:$D698,D698)</f>
        <v>48</v>
      </c>
      <c r="M698" t="str">
        <f xml:space="preserve"> IF(COUNTIF($I$2:$I1466,I698)&gt;1,"duplicated","original")</f>
        <v>duplicated</v>
      </c>
      <c r="N698" s="2">
        <f>COUNTIF($I$2:$I698,I698)</f>
        <v>23</v>
      </c>
      <c r="O698" s="8">
        <f t="shared" si="40"/>
        <v>2.2325759379236296</v>
      </c>
      <c r="P698" s="8">
        <f t="shared" si="41"/>
        <v>1.4916324916838848</v>
      </c>
      <c r="Q698">
        <v>88</v>
      </c>
      <c r="R698" s="9">
        <f t="shared" si="43"/>
        <v>0.97340573045917356</v>
      </c>
      <c r="S698">
        <v>52</v>
      </c>
      <c r="T698" s="9">
        <f t="shared" si="42"/>
        <v>-1.9492118038388582</v>
      </c>
    </row>
    <row r="699" spans="1:20" x14ac:dyDescent="0.25">
      <c r="A699">
        <v>698</v>
      </c>
      <c r="B699">
        <v>0</v>
      </c>
      <c r="C699">
        <v>99</v>
      </c>
      <c r="D699">
        <v>0</v>
      </c>
      <c r="E699">
        <v>0</v>
      </c>
      <c r="F699">
        <v>0</v>
      </c>
      <c r="G699">
        <v>25</v>
      </c>
      <c r="H699">
        <v>0.253</v>
      </c>
      <c r="I699">
        <v>22</v>
      </c>
      <c r="J699">
        <v>0</v>
      </c>
      <c r="K699" t="str">
        <f xml:space="preserve"> IF(COUNTIF($D$2:$D1453,$D$3)&gt;1,"duplicated","original")</f>
        <v>duplicated</v>
      </c>
      <c r="L699" s="2">
        <f>COUNTIF($D$2:$D699,D699)</f>
        <v>33</v>
      </c>
      <c r="M699" t="str">
        <f xml:space="preserve"> IF(COUNTIF($I$2:$I1453,I699)&gt;1,"duplicated","original")</f>
        <v>duplicated</v>
      </c>
      <c r="N699" s="2">
        <f>COUNTIF($I$2:$I699,I699)</f>
        <v>63</v>
      </c>
      <c r="O699" s="8">
        <f t="shared" si="40"/>
        <v>8.3075631012592623</v>
      </c>
      <c r="P699" s="8">
        <f t="shared" si="41"/>
        <v>3.3503682618851132</v>
      </c>
      <c r="Q699">
        <v>88</v>
      </c>
      <c r="R699" s="9">
        <f t="shared" si="43"/>
        <v>0.97340573045917356</v>
      </c>
      <c r="S699">
        <v>52</v>
      </c>
      <c r="T699" s="9">
        <f t="shared" si="42"/>
        <v>-2.4106777303069684</v>
      </c>
    </row>
    <row r="700" spans="1:20" x14ac:dyDescent="0.25">
      <c r="A700">
        <v>699</v>
      </c>
      <c r="B700">
        <v>4</v>
      </c>
      <c r="C700">
        <v>127</v>
      </c>
      <c r="D700">
        <v>88</v>
      </c>
      <c r="E700">
        <v>11</v>
      </c>
      <c r="F700">
        <v>155</v>
      </c>
      <c r="G700">
        <v>34.5</v>
      </c>
      <c r="H700">
        <v>0.59799999999999998</v>
      </c>
      <c r="I700">
        <v>28</v>
      </c>
      <c r="J700">
        <v>0</v>
      </c>
      <c r="K700" t="str">
        <f xml:space="preserve"> IF(COUNTIF($D$2:$D1468,D700)&gt;1,"duplicated","original")</f>
        <v>duplicated</v>
      </c>
      <c r="L700" s="2">
        <f>COUNTIF($D$2:$D700,D700)</f>
        <v>19</v>
      </c>
      <c r="M700" t="str">
        <f xml:space="preserve"> IF(COUNTIF($I$2:$I1468,I700)&gt;1,"duplicated","original")</f>
        <v>duplicated</v>
      </c>
      <c r="N700" s="2">
        <f>COUNTIF($I$2:$I700,I700)</f>
        <v>32</v>
      </c>
      <c r="O700" s="8">
        <f t="shared" si="40"/>
        <v>4.3571085961444176</v>
      </c>
      <c r="P700" s="8">
        <f t="shared" si="41"/>
        <v>2.2858187789601945</v>
      </c>
      <c r="Q700">
        <v>88</v>
      </c>
      <c r="R700" s="9">
        <f t="shared" si="43"/>
        <v>0.97340573045917356</v>
      </c>
      <c r="S700">
        <v>52</v>
      </c>
      <c r="T700" s="9">
        <f t="shared" si="42"/>
        <v>-2.1030337793282281</v>
      </c>
    </row>
    <row r="701" spans="1:20" x14ac:dyDescent="0.25">
      <c r="A701">
        <v>700</v>
      </c>
      <c r="B701">
        <v>4</v>
      </c>
      <c r="C701">
        <v>118</v>
      </c>
      <c r="D701">
        <v>70</v>
      </c>
      <c r="E701">
        <v>0</v>
      </c>
      <c r="F701">
        <v>0</v>
      </c>
      <c r="G701">
        <v>44.5</v>
      </c>
      <c r="H701">
        <v>0.90400000000000003</v>
      </c>
      <c r="I701">
        <v>26</v>
      </c>
      <c r="J701">
        <v>0</v>
      </c>
      <c r="K701" t="str">
        <f xml:space="preserve"> IF(COUNTIF($D$2:$D1469,D701)&gt;1,"duplicated","original")</f>
        <v>duplicated</v>
      </c>
      <c r="L701" s="2">
        <f>COUNTIF($D$2:$D701,D701)</f>
        <v>53</v>
      </c>
      <c r="M701" t="str">
        <f xml:space="preserve"> IF(COUNTIF($I$2:$I1469,I701)&gt;1,"duplicated","original")</f>
        <v>duplicated</v>
      </c>
      <c r="N701" s="2">
        <f>COUNTIF($I$2:$I701,I701)</f>
        <v>29</v>
      </c>
      <c r="O701" s="8">
        <f t="shared" si="40"/>
        <v>0.99216698120607405</v>
      </c>
      <c r="P701" s="8">
        <f t="shared" si="41"/>
        <v>2.6879299637912952</v>
      </c>
      <c r="Q701">
        <v>88</v>
      </c>
      <c r="R701" s="9">
        <f t="shared" si="43"/>
        <v>0.97340573045917356</v>
      </c>
      <c r="S701">
        <v>52</v>
      </c>
      <c r="T701" s="9">
        <f t="shared" si="42"/>
        <v>-2.2055817629878085</v>
      </c>
    </row>
    <row r="702" spans="1:20" x14ac:dyDescent="0.25">
      <c r="A702">
        <v>701</v>
      </c>
      <c r="B702">
        <v>2</v>
      </c>
      <c r="C702">
        <v>122</v>
      </c>
      <c r="D702">
        <v>76</v>
      </c>
      <c r="E702">
        <v>27</v>
      </c>
      <c r="F702">
        <v>200</v>
      </c>
      <c r="G702">
        <v>35.9</v>
      </c>
      <c r="H702">
        <v>0.48299999999999998</v>
      </c>
      <c r="I702">
        <v>26</v>
      </c>
      <c r="J702">
        <v>0</v>
      </c>
      <c r="K702" t="str">
        <f xml:space="preserve"> IF(COUNTIF($D$2:$D1456,$D$3)&gt;1,"duplicated","original")</f>
        <v>duplicated</v>
      </c>
      <c r="L702" s="2">
        <f>COUNTIF($D$2:$D702,D702)</f>
        <v>35</v>
      </c>
      <c r="M702" t="str">
        <f xml:space="preserve"> IF(COUNTIF($I$2:$I1470,I702)&gt;1,"duplicated","original")</f>
        <v>duplicated</v>
      </c>
      <c r="N702" s="2">
        <f>COUNTIF($I$2:$I702,I702)</f>
        <v>30</v>
      </c>
      <c r="O702" s="8">
        <f t="shared" si="40"/>
        <v>2.642800658126824</v>
      </c>
      <c r="P702" s="8">
        <f t="shared" si="41"/>
        <v>2.6879299637912952</v>
      </c>
      <c r="Q702">
        <v>88</v>
      </c>
      <c r="R702" s="9">
        <f t="shared" si="43"/>
        <v>0.97340573045917356</v>
      </c>
      <c r="S702">
        <v>52</v>
      </c>
      <c r="T702" s="9">
        <f t="shared" si="42"/>
        <v>-2.2055817629878085</v>
      </c>
    </row>
    <row r="703" spans="1:20" x14ac:dyDescent="0.25">
      <c r="A703">
        <v>702</v>
      </c>
      <c r="B703">
        <v>6</v>
      </c>
      <c r="C703">
        <v>125</v>
      </c>
      <c r="D703">
        <v>78</v>
      </c>
      <c r="E703">
        <v>31</v>
      </c>
      <c r="F703">
        <v>0</v>
      </c>
      <c r="G703">
        <v>27.6</v>
      </c>
      <c r="H703">
        <v>0.56499999999999995</v>
      </c>
      <c r="I703">
        <v>49</v>
      </c>
      <c r="J703">
        <v>1</v>
      </c>
      <c r="K703" t="str">
        <f xml:space="preserve"> IF(COUNTIF($D$2:$D1471,D703)&gt;1,"duplicated","original")</f>
        <v>duplicated</v>
      </c>
      <c r="L703" s="2">
        <f>COUNTIF($D$2:$D703,D703)</f>
        <v>37</v>
      </c>
      <c r="M703" t="str">
        <f xml:space="preserve"> IF(COUNTIF($I$2:$I1457,I703)&gt;1,"duplicated","original")</f>
        <v>duplicated</v>
      </c>
      <c r="N703" s="2">
        <f>COUNTIF($I$2:$I703,I703)</f>
        <v>5</v>
      </c>
      <c r="O703" s="8">
        <f t="shared" si="40"/>
        <v>2.9973980914445737</v>
      </c>
      <c r="P703" s="8">
        <f t="shared" si="41"/>
        <v>3.9717795142420638</v>
      </c>
      <c r="Q703">
        <v>88</v>
      </c>
      <c r="R703" s="9">
        <f t="shared" si="43"/>
        <v>0.97340573045917356</v>
      </c>
      <c r="S703">
        <v>52</v>
      </c>
      <c r="T703" s="9">
        <f t="shared" si="42"/>
        <v>-1.0262799509026377</v>
      </c>
    </row>
    <row r="704" spans="1:20" x14ac:dyDescent="0.25">
      <c r="A704">
        <v>703</v>
      </c>
      <c r="B704">
        <v>1</v>
      </c>
      <c r="C704">
        <v>168</v>
      </c>
      <c r="D704">
        <v>88</v>
      </c>
      <c r="E704">
        <v>29</v>
      </c>
      <c r="F704">
        <v>0</v>
      </c>
      <c r="G704">
        <v>35</v>
      </c>
      <c r="H704">
        <v>0.90500000000000003</v>
      </c>
      <c r="I704">
        <v>52</v>
      </c>
      <c r="J704">
        <v>1</v>
      </c>
      <c r="K704" t="str">
        <f xml:space="preserve"> IF(COUNTIF($D$2:$D1472,D704)&gt;1,"duplicated","original")</f>
        <v>duplicated</v>
      </c>
      <c r="L704" s="2">
        <f>COUNTIF($D$2:$D704,D704)</f>
        <v>20</v>
      </c>
      <c r="M704" t="str">
        <f xml:space="preserve"> IF(COUNTIF($I$2:$I1472,I704)&gt;1,"duplicated","original")</f>
        <v>duplicated</v>
      </c>
      <c r="N704" s="2">
        <f>COUNTIF($I$2:$I704,I704)</f>
        <v>6</v>
      </c>
      <c r="O704" s="8">
        <f t="shared" si="40"/>
        <v>4.3571085961444176</v>
      </c>
      <c r="P704" s="8">
        <f t="shared" si="41"/>
        <v>4.3330165600598534</v>
      </c>
      <c r="Q704">
        <v>88</v>
      </c>
      <c r="R704" s="9">
        <f t="shared" si="43"/>
        <v>0.97340573045917356</v>
      </c>
      <c r="S704">
        <v>52</v>
      </c>
      <c r="T704" s="9">
        <f t="shared" si="42"/>
        <v>-0.87245797541326753</v>
      </c>
    </row>
    <row r="705" spans="1:20" x14ac:dyDescent="0.25">
      <c r="A705">
        <v>704</v>
      </c>
      <c r="B705">
        <v>2</v>
      </c>
      <c r="C705">
        <v>129</v>
      </c>
      <c r="D705">
        <v>0</v>
      </c>
      <c r="E705">
        <v>0</v>
      </c>
      <c r="F705">
        <v>0</v>
      </c>
      <c r="G705">
        <v>38.5</v>
      </c>
      <c r="H705">
        <v>0.30399999999999999</v>
      </c>
      <c r="I705">
        <v>41</v>
      </c>
      <c r="J705">
        <v>0</v>
      </c>
      <c r="K705" t="str">
        <f xml:space="preserve"> IF(COUNTIF($D$2:$D1459,$D$3)&gt;1,"duplicated","original")</f>
        <v>duplicated</v>
      </c>
      <c r="L705" s="2">
        <f>COUNTIF($D$2:$D705,D705)</f>
        <v>34</v>
      </c>
      <c r="M705" t="str">
        <f xml:space="preserve"> IF(COUNTIF($I$2:$I1473,I705)&gt;1,"duplicated","original")</f>
        <v>duplicated</v>
      </c>
      <c r="N705" s="2">
        <f>COUNTIF($I$2:$I705,I705)</f>
        <v>22</v>
      </c>
      <c r="O705" s="8">
        <f t="shared" si="40"/>
        <v>8.3075631012592623</v>
      </c>
      <c r="P705" s="8">
        <f t="shared" si="41"/>
        <v>2.7883745282427403</v>
      </c>
      <c r="Q705">
        <v>88</v>
      </c>
      <c r="R705" s="9">
        <f t="shared" si="43"/>
        <v>0.97340573045917356</v>
      </c>
      <c r="S705">
        <v>52</v>
      </c>
      <c r="T705" s="9">
        <f t="shared" si="42"/>
        <v>-1.4364718855409579</v>
      </c>
    </row>
    <row r="706" spans="1:20" x14ac:dyDescent="0.25">
      <c r="A706">
        <v>705</v>
      </c>
      <c r="B706">
        <v>4</v>
      </c>
      <c r="C706">
        <v>110</v>
      </c>
      <c r="D706">
        <v>76</v>
      </c>
      <c r="E706">
        <v>20</v>
      </c>
      <c r="F706">
        <v>100</v>
      </c>
      <c r="G706">
        <v>28.4</v>
      </c>
      <c r="H706">
        <v>0.11799999999999999</v>
      </c>
      <c r="I706">
        <v>27</v>
      </c>
      <c r="J706">
        <v>0</v>
      </c>
      <c r="K706" t="str">
        <f xml:space="preserve"> IF(COUNTIF($D$2:$D1474,D706)&gt;1,"duplicated","original")</f>
        <v>duplicated</v>
      </c>
      <c r="L706" s="2">
        <f>COUNTIF($D$2:$D706,D706)</f>
        <v>36</v>
      </c>
      <c r="M706" t="str">
        <f xml:space="preserve"> IF(COUNTIF($I$2:$I1474,I706)&gt;1,"duplicated","original")</f>
        <v>duplicated</v>
      </c>
      <c r="N706" s="2">
        <f>COUNTIF($I$2:$I706,I706)</f>
        <v>30</v>
      </c>
      <c r="O706" s="8">
        <f t="shared" ref="O706:O770" si="44">SQRT(ABS($D706 - $U$8))</f>
        <v>2.642800658126824</v>
      </c>
      <c r="P706" s="8">
        <f t="shared" ref="P706:P770" si="45">SQRT(ABS($I706 - $W$8))</f>
        <v>2.4949884749727951</v>
      </c>
      <c r="Q706">
        <v>88</v>
      </c>
      <c r="R706" s="9">
        <f t="shared" si="43"/>
        <v>0.97340573045917356</v>
      </c>
      <c r="S706">
        <v>53</v>
      </c>
      <c r="T706" s="9">
        <f t="shared" si="42"/>
        <v>-2.1543077711580185</v>
      </c>
    </row>
    <row r="707" spans="1:20" x14ac:dyDescent="0.25">
      <c r="A707">
        <v>706</v>
      </c>
      <c r="B707">
        <v>6</v>
      </c>
      <c r="C707">
        <v>80</v>
      </c>
      <c r="D707">
        <v>80</v>
      </c>
      <c r="E707">
        <v>36</v>
      </c>
      <c r="F707">
        <v>0</v>
      </c>
      <c r="G707">
        <v>39.799999999999997</v>
      </c>
      <c r="H707">
        <v>0.17699999999999999</v>
      </c>
      <c r="I707">
        <v>28</v>
      </c>
      <c r="J707">
        <v>0</v>
      </c>
      <c r="K707" t="str">
        <f xml:space="preserve"> IF(COUNTIF($D$2:$D1475,D707)&gt;1,"duplicated","original")</f>
        <v>duplicated</v>
      </c>
      <c r="L707" s="2">
        <f>COUNTIF($D$2:$D707,D707)</f>
        <v>39</v>
      </c>
      <c r="M707" t="str">
        <f xml:space="preserve"> IF(COUNTIF($I$2:$I1461,I707)&gt;1,"duplicated","original")</f>
        <v>duplicated</v>
      </c>
      <c r="N707" s="2">
        <f>COUNTIF($I$2:$I707,I707)</f>
        <v>33</v>
      </c>
      <c r="O707" s="8">
        <f t="shared" si="44"/>
        <v>3.3142714612106796</v>
      </c>
      <c r="P707" s="8">
        <f t="shared" si="45"/>
        <v>2.2858187789601945</v>
      </c>
      <c r="Q707">
        <v>88</v>
      </c>
      <c r="R707" s="9">
        <f t="shared" si="43"/>
        <v>0.97340573045917356</v>
      </c>
      <c r="S707">
        <v>53</v>
      </c>
      <c r="T707" s="9">
        <f t="shared" ref="T707:T770" si="46">STANDARDIZE($I707,$U$8,$U$26)</f>
        <v>-2.1030337793282281</v>
      </c>
    </row>
    <row r="708" spans="1:20" x14ac:dyDescent="0.25">
      <c r="A708">
        <v>707</v>
      </c>
      <c r="B708">
        <v>10</v>
      </c>
      <c r="C708">
        <v>115</v>
      </c>
      <c r="D708">
        <v>0</v>
      </c>
      <c r="E708">
        <v>0</v>
      </c>
      <c r="F708">
        <v>0</v>
      </c>
      <c r="G708">
        <v>0</v>
      </c>
      <c r="H708">
        <v>0.26100000000000001</v>
      </c>
      <c r="I708">
        <v>30</v>
      </c>
      <c r="J708">
        <v>1</v>
      </c>
      <c r="K708" t="str">
        <f xml:space="preserve"> IF(COUNTIF($D$2:$D1462,$D$3)&gt;1,"duplicated","original")</f>
        <v>duplicated</v>
      </c>
      <c r="L708" s="2">
        <f>COUNTIF($D$2:$D708,D708)</f>
        <v>35</v>
      </c>
      <c r="M708" t="str">
        <f xml:space="preserve"> IF(COUNTIF($I$2:$I1476,I708)&gt;1,"duplicated","original")</f>
        <v>duplicated</v>
      </c>
      <c r="N708" s="2">
        <f>COUNTIF($I$2:$I708,I708)</f>
        <v>20</v>
      </c>
      <c r="O708" s="8">
        <f t="shared" si="44"/>
        <v>8.3075631012592623</v>
      </c>
      <c r="P708" s="8">
        <f t="shared" si="45"/>
        <v>1.7958194481202931</v>
      </c>
      <c r="Q708">
        <v>88</v>
      </c>
      <c r="R708" s="9">
        <f t="shared" si="43"/>
        <v>0.97340573045917356</v>
      </c>
      <c r="S708">
        <v>53</v>
      </c>
      <c r="T708" s="9">
        <f t="shared" si="46"/>
        <v>-2.0004857956686481</v>
      </c>
    </row>
    <row r="709" spans="1:20" x14ac:dyDescent="0.25">
      <c r="A709">
        <v>708</v>
      </c>
      <c r="B709">
        <v>2</v>
      </c>
      <c r="C709">
        <v>127</v>
      </c>
      <c r="D709">
        <v>46</v>
      </c>
      <c r="E709">
        <v>21</v>
      </c>
      <c r="F709">
        <v>335</v>
      </c>
      <c r="G709">
        <v>34.4</v>
      </c>
      <c r="H709">
        <v>0.17599999999999999</v>
      </c>
      <c r="I709">
        <v>22</v>
      </c>
      <c r="J709">
        <v>0</v>
      </c>
      <c r="K709" t="str">
        <f xml:space="preserve"> IF(COUNTIF($D$2:$D1477,D709)&gt;1,"duplicated","original")</f>
        <v>duplicated</v>
      </c>
      <c r="L709" s="2">
        <f>COUNTIF($D$2:$D709,D709)</f>
        <v>2</v>
      </c>
      <c r="M709" t="str">
        <f xml:space="preserve"> IF(COUNTIF($I$2:$I1477,I709)&gt;1,"duplicated","original")</f>
        <v>duplicated</v>
      </c>
      <c r="N709" s="2">
        <f>COUNTIF($I$2:$I709,I709)</f>
        <v>64</v>
      </c>
      <c r="O709" s="8">
        <f t="shared" si="44"/>
        <v>4.7974581479575642</v>
      </c>
      <c r="P709" s="8">
        <f t="shared" si="45"/>
        <v>3.3503682618851132</v>
      </c>
      <c r="Q709">
        <v>88</v>
      </c>
      <c r="R709" s="9">
        <f t="shared" ref="R709:R770" si="47">STANDARDIZE($Q709,$U$8,$U$26)</f>
        <v>0.97340573045917356</v>
      </c>
      <c r="S709">
        <v>53</v>
      </c>
      <c r="T709" s="9">
        <f t="shared" si="46"/>
        <v>-2.4106777303069684</v>
      </c>
    </row>
    <row r="710" spans="1:20" x14ac:dyDescent="0.25">
      <c r="A710">
        <v>709</v>
      </c>
      <c r="B710">
        <v>9</v>
      </c>
      <c r="C710">
        <v>164</v>
      </c>
      <c r="D710">
        <v>78</v>
      </c>
      <c r="E710">
        <v>0</v>
      </c>
      <c r="F710">
        <v>0</v>
      </c>
      <c r="G710">
        <v>32.799999999999997</v>
      </c>
      <c r="H710">
        <v>0.14799999999999999</v>
      </c>
      <c r="I710">
        <v>45</v>
      </c>
      <c r="J710">
        <v>1</v>
      </c>
      <c r="K710" t="str">
        <f xml:space="preserve"> IF(COUNTIF($D$2:$D1478,D710)&gt;1,"duplicated","original")</f>
        <v>duplicated</v>
      </c>
      <c r="L710" s="2">
        <f>COUNTIF($D$2:$D710,D710)</f>
        <v>38</v>
      </c>
      <c r="M710" t="str">
        <f xml:space="preserve"> IF(COUNTIF($I$2:$I1478,I710)&gt;1,"duplicated","original")</f>
        <v>duplicated</v>
      </c>
      <c r="N710" s="2">
        <f>COUNTIF($I$2:$I710,I710)</f>
        <v>12</v>
      </c>
      <c r="O710" s="8">
        <f t="shared" si="44"/>
        <v>2.9973980914445737</v>
      </c>
      <c r="P710" s="8">
        <f t="shared" si="45"/>
        <v>3.4314767243495803</v>
      </c>
      <c r="Q710">
        <v>88</v>
      </c>
      <c r="R710" s="9">
        <f t="shared" si="47"/>
        <v>0.97340573045917356</v>
      </c>
      <c r="S710">
        <v>53</v>
      </c>
      <c r="T710" s="9">
        <f t="shared" si="46"/>
        <v>-1.2313759182217978</v>
      </c>
    </row>
    <row r="711" spans="1:20" x14ac:dyDescent="0.25">
      <c r="A711">
        <v>710</v>
      </c>
      <c r="B711">
        <v>2</v>
      </c>
      <c r="C711">
        <v>93</v>
      </c>
      <c r="D711">
        <v>64</v>
      </c>
      <c r="E711">
        <v>32</v>
      </c>
      <c r="F711">
        <v>160</v>
      </c>
      <c r="G711">
        <v>38</v>
      </c>
      <c r="H711">
        <v>0.67400000000000004</v>
      </c>
      <c r="I711">
        <v>23</v>
      </c>
      <c r="J711">
        <v>1</v>
      </c>
      <c r="K711" t="str">
        <f xml:space="preserve"> IF(COUNTIF($D$2:$D1465,$D$3)&gt;1,"duplicated","original")</f>
        <v>duplicated</v>
      </c>
      <c r="L711" s="2">
        <f>COUNTIF($D$2:$D711,D711)</f>
        <v>42</v>
      </c>
      <c r="M711" t="str">
        <f xml:space="preserve"> IF(COUNTIF($I$2:$I1465,I711)&gt;1,"duplicated","original")</f>
        <v>duplicated</v>
      </c>
      <c r="N711" s="2">
        <f>COUNTIF($I$2:$I711,I711)</f>
        <v>37</v>
      </c>
      <c r="O711" s="8">
        <f t="shared" si="44"/>
        <v>2.2395545720978594</v>
      </c>
      <c r="P711" s="8">
        <f t="shared" si="45"/>
        <v>3.1976503076864229</v>
      </c>
      <c r="Q711">
        <v>90</v>
      </c>
      <c r="R711" s="9">
        <f t="shared" si="47"/>
        <v>1.0759537141187536</v>
      </c>
      <c r="S711">
        <v>54</v>
      </c>
      <c r="T711" s="9">
        <f t="shared" si="46"/>
        <v>-2.3594037384771784</v>
      </c>
    </row>
    <row r="712" spans="1:20" x14ac:dyDescent="0.25">
      <c r="A712">
        <v>711</v>
      </c>
      <c r="B712">
        <v>3</v>
      </c>
      <c r="C712">
        <v>158</v>
      </c>
      <c r="D712">
        <v>64</v>
      </c>
      <c r="E712">
        <v>13</v>
      </c>
      <c r="F712">
        <v>387</v>
      </c>
      <c r="G712">
        <v>31.2</v>
      </c>
      <c r="H712">
        <v>0.29499999999999998</v>
      </c>
      <c r="I712">
        <v>24</v>
      </c>
      <c r="J712">
        <v>0</v>
      </c>
      <c r="K712" t="str">
        <f xml:space="preserve"> IF(COUNTIF($D$2:$D1480,D712)&gt;1,"duplicated","original")</f>
        <v>duplicated</v>
      </c>
      <c r="L712" s="2">
        <f>COUNTIF($D$2:$D712,D712)</f>
        <v>43</v>
      </c>
      <c r="M712" t="str">
        <f xml:space="preserve"> IF(COUNTIF($I$2:$I1480,I712)&gt;1,"duplicated","original")</f>
        <v>duplicated</v>
      </c>
      <c r="N712" s="2">
        <f>COUNTIF($I$2:$I712,I712)</f>
        <v>44</v>
      </c>
      <c r="O712" s="8">
        <f t="shared" si="44"/>
        <v>2.2395545720978594</v>
      </c>
      <c r="P712" s="8">
        <f t="shared" si="45"/>
        <v>3.0372631578852487</v>
      </c>
      <c r="Q712">
        <v>90</v>
      </c>
      <c r="R712" s="9">
        <f t="shared" si="47"/>
        <v>1.0759537141187536</v>
      </c>
      <c r="S712">
        <v>54</v>
      </c>
      <c r="T712" s="9">
        <f t="shared" si="46"/>
        <v>-2.3081297466473885</v>
      </c>
    </row>
    <row r="713" spans="1:20" x14ac:dyDescent="0.25">
      <c r="A713">
        <v>712</v>
      </c>
      <c r="B713">
        <v>5</v>
      </c>
      <c r="C713">
        <v>126</v>
      </c>
      <c r="D713">
        <v>78</v>
      </c>
      <c r="E713">
        <v>27</v>
      </c>
      <c r="F713">
        <v>22</v>
      </c>
      <c r="G713">
        <v>29.6</v>
      </c>
      <c r="H713">
        <v>0.439</v>
      </c>
      <c r="I713">
        <v>40</v>
      </c>
      <c r="J713">
        <v>0</v>
      </c>
      <c r="K713" t="str">
        <f xml:space="preserve"> IF(COUNTIF($D$2:$D1481,D713)&gt;1,"duplicated","original")</f>
        <v>duplicated</v>
      </c>
      <c r="L713" s="2">
        <f>COUNTIF($D$2:$D713,D713)</f>
        <v>39</v>
      </c>
      <c r="M713" t="str">
        <f xml:space="preserve"> IF(COUNTIF($I$2:$I1481,I713)&gt;1,"duplicated","original")</f>
        <v>duplicated</v>
      </c>
      <c r="N713" s="2">
        <f>COUNTIF($I$2:$I713,I713)</f>
        <v>13</v>
      </c>
      <c r="O713" s="8">
        <f t="shared" si="44"/>
        <v>2.9973980914445737</v>
      </c>
      <c r="P713" s="8">
        <f t="shared" si="45"/>
        <v>2.6028892619074147</v>
      </c>
      <c r="Q713">
        <v>90</v>
      </c>
      <c r="R713" s="9">
        <f t="shared" si="47"/>
        <v>1.0759537141187536</v>
      </c>
      <c r="S713">
        <v>54</v>
      </c>
      <c r="T713" s="9">
        <f t="shared" si="46"/>
        <v>-1.4877458773707479</v>
      </c>
    </row>
    <row r="714" spans="1:20" x14ac:dyDescent="0.25">
      <c r="A714">
        <v>713</v>
      </c>
      <c r="B714">
        <v>10</v>
      </c>
      <c r="C714">
        <v>129</v>
      </c>
      <c r="D714">
        <v>62</v>
      </c>
      <c r="E714">
        <v>36</v>
      </c>
      <c r="F714">
        <v>0</v>
      </c>
      <c r="G714">
        <v>41.2</v>
      </c>
      <c r="H714">
        <v>0.441</v>
      </c>
      <c r="I714">
        <v>38</v>
      </c>
      <c r="J714">
        <v>1</v>
      </c>
      <c r="K714" t="str">
        <f xml:space="preserve"> IF(COUNTIF($D$2:$D1468,$D$3)&gt;1,"duplicated","original")</f>
        <v>duplicated</v>
      </c>
      <c r="L714" s="2">
        <f>COUNTIF($D$2:$D714,D714)</f>
        <v>31</v>
      </c>
      <c r="M714" t="str">
        <f xml:space="preserve"> IF(COUNTIF($I$2:$I1482,I714)&gt;1,"duplicated","original")</f>
        <v>duplicated</v>
      </c>
      <c r="N714" s="2">
        <f>COUNTIF($I$2:$I714,I714)</f>
        <v>15</v>
      </c>
      <c r="O714" s="8">
        <f t="shared" si="44"/>
        <v>2.648698676974115</v>
      </c>
      <c r="P714" s="8">
        <f t="shared" si="45"/>
        <v>2.1851847770275459</v>
      </c>
      <c r="Q714">
        <v>90</v>
      </c>
      <c r="R714" s="9">
        <f t="shared" si="47"/>
        <v>1.0759537141187536</v>
      </c>
      <c r="S714">
        <v>54</v>
      </c>
      <c r="T714" s="9">
        <f t="shared" si="46"/>
        <v>-1.5902938610303279</v>
      </c>
    </row>
    <row r="715" spans="1:20" x14ac:dyDescent="0.25">
      <c r="A715">
        <v>714</v>
      </c>
      <c r="B715">
        <v>0</v>
      </c>
      <c r="C715">
        <v>134</v>
      </c>
      <c r="D715">
        <v>58</v>
      </c>
      <c r="E715">
        <v>20</v>
      </c>
      <c r="F715">
        <v>291</v>
      </c>
      <c r="G715">
        <v>26.4</v>
      </c>
      <c r="H715">
        <v>0.35199999999999998</v>
      </c>
      <c r="I715">
        <v>21</v>
      </c>
      <c r="J715">
        <v>0</v>
      </c>
      <c r="K715" t="str">
        <f xml:space="preserve"> IF(COUNTIF($D$2:$D1483,D715)&gt;1,"duplicated","original")</f>
        <v>duplicated</v>
      </c>
      <c r="L715" s="2">
        <f>COUNTIF($D$2:$D715,D715)</f>
        <v>19</v>
      </c>
      <c r="M715" t="str">
        <f xml:space="preserve"> IF(COUNTIF($I$2:$I1469,I715)&gt;1,"duplicated","original")</f>
        <v>duplicated</v>
      </c>
      <c r="N715" s="2">
        <f>COUNTIF($I$2:$I715,I715)</f>
        <v>60</v>
      </c>
      <c r="O715" s="8">
        <f t="shared" si="44"/>
        <v>3.3189764508662045</v>
      </c>
      <c r="P715" s="8">
        <f t="shared" si="45"/>
        <v>3.4964220984096119</v>
      </c>
      <c r="Q715">
        <v>90</v>
      </c>
      <c r="R715" s="9">
        <f t="shared" si="47"/>
        <v>1.0759537141187536</v>
      </c>
      <c r="S715">
        <v>54</v>
      </c>
      <c r="T715" s="9">
        <f t="shared" si="46"/>
        <v>-2.4619517221367584</v>
      </c>
    </row>
    <row r="716" spans="1:20" x14ac:dyDescent="0.25">
      <c r="A716">
        <v>715</v>
      </c>
      <c r="B716">
        <v>3</v>
      </c>
      <c r="C716">
        <v>102</v>
      </c>
      <c r="D716">
        <v>74</v>
      </c>
      <c r="E716">
        <v>0</v>
      </c>
      <c r="F716">
        <v>0</v>
      </c>
      <c r="G716">
        <v>29.5</v>
      </c>
      <c r="H716">
        <v>0.121</v>
      </c>
      <c r="I716">
        <v>32</v>
      </c>
      <c r="J716">
        <v>0</v>
      </c>
      <c r="K716" t="str">
        <f xml:space="preserve"> IF(COUNTIF($D$2:$D1484,D716)&gt;1,"duplicated","original")</f>
        <v>duplicated</v>
      </c>
      <c r="L716" s="2">
        <f>COUNTIF($D$2:$D716,D716)</f>
        <v>49</v>
      </c>
      <c r="M716" t="str">
        <f xml:space="preserve"> IF(COUNTIF($I$2:$I1484,I716)&gt;1,"duplicated","original")</f>
        <v>duplicated</v>
      </c>
      <c r="N716" s="2">
        <f>COUNTIF($I$2:$I716,I716)</f>
        <v>15</v>
      </c>
      <c r="O716" s="8">
        <f t="shared" si="44"/>
        <v>2.2325759379236296</v>
      </c>
      <c r="P716" s="8">
        <f t="shared" si="45"/>
        <v>1.1067824945521474</v>
      </c>
      <c r="Q716">
        <v>90</v>
      </c>
      <c r="R716" s="9">
        <f t="shared" si="47"/>
        <v>1.0759537141187536</v>
      </c>
      <c r="S716">
        <v>54</v>
      </c>
      <c r="T716" s="9">
        <f t="shared" si="46"/>
        <v>-1.8979378120090682</v>
      </c>
    </row>
    <row r="717" spans="1:20" x14ac:dyDescent="0.25">
      <c r="A717">
        <v>716</v>
      </c>
      <c r="B717">
        <v>7</v>
      </c>
      <c r="C717">
        <v>187</v>
      </c>
      <c r="D717">
        <v>50</v>
      </c>
      <c r="E717">
        <v>33</v>
      </c>
      <c r="F717">
        <v>392</v>
      </c>
      <c r="G717">
        <v>33.9</v>
      </c>
      <c r="H717">
        <v>0.82599999999999996</v>
      </c>
      <c r="I717">
        <v>34</v>
      </c>
      <c r="J717">
        <v>1</v>
      </c>
      <c r="K717" t="str">
        <f xml:space="preserve"> IF(COUNTIF($D$2:$D1471,$D$3)&gt;1,"duplicated","original")</f>
        <v>duplicated</v>
      </c>
      <c r="L717" s="2">
        <f>COUNTIF($D$2:$D717,D717)</f>
        <v>13</v>
      </c>
      <c r="M717" t="str">
        <f xml:space="preserve"> IF(COUNTIF($I$2:$I1485,I717)&gt;1,"duplicated","original")</f>
        <v>duplicated</v>
      </c>
      <c r="N717" s="2">
        <f>COUNTIF($I$2:$I717,I717)</f>
        <v>12</v>
      </c>
      <c r="O717" s="8">
        <f t="shared" si="44"/>
        <v>4.3606885558824793</v>
      </c>
      <c r="P717" s="8">
        <f t="shared" si="45"/>
        <v>0.88035930718822164</v>
      </c>
      <c r="Q717">
        <v>90</v>
      </c>
      <c r="R717" s="9">
        <f t="shared" si="47"/>
        <v>1.0759537141187536</v>
      </c>
      <c r="S717">
        <v>55</v>
      </c>
      <c r="T717" s="9">
        <f t="shared" si="46"/>
        <v>-1.795389828349488</v>
      </c>
    </row>
    <row r="718" spans="1:20" x14ac:dyDescent="0.25">
      <c r="A718">
        <v>717</v>
      </c>
      <c r="B718">
        <v>3</v>
      </c>
      <c r="C718">
        <v>173</v>
      </c>
      <c r="D718">
        <v>78</v>
      </c>
      <c r="E718">
        <v>39</v>
      </c>
      <c r="F718">
        <v>185</v>
      </c>
      <c r="G718">
        <v>33.799999999999997</v>
      </c>
      <c r="H718">
        <v>0.97</v>
      </c>
      <c r="I718">
        <v>31</v>
      </c>
      <c r="J718">
        <v>1</v>
      </c>
      <c r="K718" t="str">
        <f xml:space="preserve"> IF(COUNTIF($D$2:$D1486,D718)&gt;1,"duplicated","original")</f>
        <v>duplicated</v>
      </c>
      <c r="L718" s="2">
        <f>COUNTIF($D$2:$D718,D718)</f>
        <v>40</v>
      </c>
      <c r="M718" t="str">
        <f xml:space="preserve"> IF(COUNTIF($I$2:$I1486,I718)&gt;1,"duplicated","original")</f>
        <v>duplicated</v>
      </c>
      <c r="N718" s="2">
        <f>COUNTIF($I$2:$I718,I718)</f>
        <v>24</v>
      </c>
      <c r="O718" s="8">
        <f t="shared" si="44"/>
        <v>2.9973980914445737</v>
      </c>
      <c r="P718" s="8">
        <f t="shared" si="45"/>
        <v>1.4916324916838848</v>
      </c>
      <c r="Q718">
        <v>90</v>
      </c>
      <c r="R718" s="9">
        <f t="shared" si="47"/>
        <v>1.0759537141187536</v>
      </c>
      <c r="S718">
        <v>55</v>
      </c>
      <c r="T718" s="9">
        <f t="shared" si="46"/>
        <v>-1.9492118038388582</v>
      </c>
    </row>
    <row r="719" spans="1:20" x14ac:dyDescent="0.25">
      <c r="A719">
        <v>718</v>
      </c>
      <c r="B719">
        <v>10</v>
      </c>
      <c r="C719">
        <v>94</v>
      </c>
      <c r="D719">
        <v>72</v>
      </c>
      <c r="E719">
        <v>18</v>
      </c>
      <c r="F719">
        <v>0</v>
      </c>
      <c r="G719">
        <v>23.1</v>
      </c>
      <c r="H719">
        <v>0.59499999999999997</v>
      </c>
      <c r="I719">
        <v>56</v>
      </c>
      <c r="J719">
        <v>0</v>
      </c>
      <c r="K719" t="str">
        <f xml:space="preserve"> IF(COUNTIF($D$2:$D1487,D719)&gt;1,"duplicated","original")</f>
        <v>duplicated</v>
      </c>
      <c r="L719" s="2">
        <f>COUNTIF($D$2:$D719,D719)</f>
        <v>41</v>
      </c>
      <c r="M719" t="str">
        <f xml:space="preserve"> IF(COUNTIF($I$2:$I1473,I719)&gt;1,"duplicated","original")</f>
        <v>duplicated</v>
      </c>
      <c r="N719" s="2">
        <f>COUNTIF($I$2:$I719,I719)</f>
        <v>3</v>
      </c>
      <c r="O719" s="8">
        <f t="shared" si="44"/>
        <v>1.7275402509335562</v>
      </c>
      <c r="P719" s="8">
        <f t="shared" si="45"/>
        <v>4.7723194056719347</v>
      </c>
      <c r="Q719">
        <v>90</v>
      </c>
      <c r="R719" s="9">
        <f t="shared" si="47"/>
        <v>1.0759537141187536</v>
      </c>
      <c r="S719">
        <v>55</v>
      </c>
      <c r="T719" s="9">
        <f t="shared" si="46"/>
        <v>-0.6673620080941074</v>
      </c>
    </row>
    <row r="720" spans="1:20" x14ac:dyDescent="0.25">
      <c r="A720">
        <v>719</v>
      </c>
      <c r="B720">
        <v>1</v>
      </c>
      <c r="C720">
        <v>108</v>
      </c>
      <c r="D720">
        <v>60</v>
      </c>
      <c r="E720">
        <v>46</v>
      </c>
      <c r="F720">
        <v>178</v>
      </c>
      <c r="G720">
        <v>35.5</v>
      </c>
      <c r="H720">
        <v>0.41499999999999998</v>
      </c>
      <c r="I720">
        <v>24</v>
      </c>
      <c r="J720">
        <v>0</v>
      </c>
      <c r="K720" t="str">
        <f xml:space="preserve"> IF(COUNTIF($D$2:$D1474,$D$3)&gt;1,"duplicated","original")</f>
        <v>duplicated</v>
      </c>
      <c r="L720" s="2">
        <f>COUNTIF($D$2:$D720,D720)</f>
        <v>34</v>
      </c>
      <c r="M720" t="str">
        <f xml:space="preserve"> IF(COUNTIF($I$2:$I1488,I720)&gt;1,"duplicated","original")</f>
        <v>duplicated</v>
      </c>
      <c r="N720" s="2">
        <f>COUNTIF($I$2:$I720,I720)</f>
        <v>45</v>
      </c>
      <c r="O720" s="8">
        <f t="shared" si="44"/>
        <v>3.002599653867366</v>
      </c>
      <c r="P720" s="8">
        <f t="shared" si="45"/>
        <v>3.0372631578852487</v>
      </c>
      <c r="Q720">
        <v>90</v>
      </c>
      <c r="R720" s="9">
        <f t="shared" si="47"/>
        <v>1.0759537141187536</v>
      </c>
      <c r="S720">
        <v>55</v>
      </c>
      <c r="T720" s="9">
        <f t="shared" si="46"/>
        <v>-2.3081297466473885</v>
      </c>
    </row>
    <row r="721" spans="1:20" x14ac:dyDescent="0.25">
      <c r="A721">
        <v>720</v>
      </c>
      <c r="B721">
        <v>5</v>
      </c>
      <c r="C721">
        <v>97</v>
      </c>
      <c r="D721">
        <v>76</v>
      </c>
      <c r="E721">
        <v>27</v>
      </c>
      <c r="F721">
        <v>0</v>
      </c>
      <c r="G721">
        <v>35.6</v>
      </c>
      <c r="H721">
        <v>0.378</v>
      </c>
      <c r="I721">
        <v>52</v>
      </c>
      <c r="J721">
        <v>1</v>
      </c>
      <c r="K721" t="str">
        <f xml:space="preserve"> IF(COUNTIF($D$2:$D1489,D721)&gt;1,"duplicated","original")</f>
        <v>duplicated</v>
      </c>
      <c r="L721" s="2">
        <f>COUNTIF($D$2:$D721,D721)</f>
        <v>37</v>
      </c>
      <c r="M721" t="str">
        <f xml:space="preserve"> IF(COUNTIF($I$2:$I1489,I721)&gt;1,"duplicated","original")</f>
        <v>duplicated</v>
      </c>
      <c r="N721" s="2">
        <f>COUNTIF($I$2:$I721,I721)</f>
        <v>7</v>
      </c>
      <c r="O721" s="8">
        <f t="shared" si="44"/>
        <v>2.642800658126824</v>
      </c>
      <c r="P721" s="8">
        <f t="shared" si="45"/>
        <v>4.3330165600598534</v>
      </c>
      <c r="Q721">
        <v>90</v>
      </c>
      <c r="R721" s="9">
        <f t="shared" si="47"/>
        <v>1.0759537141187536</v>
      </c>
      <c r="S721">
        <v>56</v>
      </c>
      <c r="T721" s="9">
        <f t="shared" si="46"/>
        <v>-0.87245797541326753</v>
      </c>
    </row>
    <row r="722" spans="1:20" x14ac:dyDescent="0.25">
      <c r="A722">
        <v>721</v>
      </c>
      <c r="B722">
        <v>4</v>
      </c>
      <c r="C722">
        <v>83</v>
      </c>
      <c r="D722">
        <v>86</v>
      </c>
      <c r="E722">
        <v>19</v>
      </c>
      <c r="F722">
        <v>0</v>
      </c>
      <c r="G722">
        <v>29.3</v>
      </c>
      <c r="H722">
        <v>0.317</v>
      </c>
      <c r="I722">
        <v>34</v>
      </c>
      <c r="J722">
        <v>0</v>
      </c>
      <c r="K722" t="str">
        <f xml:space="preserve"> IF(COUNTIF($D$2:$D1490,D722)&gt;1,"duplicated","original")</f>
        <v>duplicated</v>
      </c>
      <c r="L722" s="2">
        <f>COUNTIF($D$2:$D722,D722)</f>
        <v>18</v>
      </c>
      <c r="M722" t="str">
        <f xml:space="preserve"> IF(COUNTIF($I$2:$I1490,I722)&gt;1,"duplicated","original")</f>
        <v>duplicated</v>
      </c>
      <c r="N722" s="2">
        <f>COUNTIF($I$2:$I722,I722)</f>
        <v>13</v>
      </c>
      <c r="O722" s="8">
        <f t="shared" si="44"/>
        <v>4.121212845582666</v>
      </c>
      <c r="P722" s="8">
        <f t="shared" si="45"/>
        <v>0.88035930718822164</v>
      </c>
      <c r="Q722">
        <v>90</v>
      </c>
      <c r="R722" s="9">
        <f t="shared" si="47"/>
        <v>1.0759537141187536</v>
      </c>
      <c r="S722">
        <v>56</v>
      </c>
      <c r="T722" s="9">
        <f t="shared" si="46"/>
        <v>-1.795389828349488</v>
      </c>
    </row>
    <row r="723" spans="1:20" x14ac:dyDescent="0.25">
      <c r="A723">
        <v>722</v>
      </c>
      <c r="B723">
        <v>1</v>
      </c>
      <c r="C723">
        <v>114</v>
      </c>
      <c r="D723">
        <v>66</v>
      </c>
      <c r="E723">
        <v>36</v>
      </c>
      <c r="F723">
        <v>200</v>
      </c>
      <c r="G723">
        <v>38.1</v>
      </c>
      <c r="H723">
        <v>0.28899999999999998</v>
      </c>
      <c r="I723">
        <v>21</v>
      </c>
      <c r="J723">
        <v>0</v>
      </c>
      <c r="K723" t="str">
        <f xml:space="preserve"> IF(COUNTIF($D$2:$D1477,$D$3)&gt;1,"duplicated","original")</f>
        <v>duplicated</v>
      </c>
      <c r="L723" s="2">
        <f>COUNTIF($D$2:$D723,D723)</f>
        <v>30</v>
      </c>
      <c r="M723" t="str">
        <f xml:space="preserve"> IF(COUNTIF($I$2:$I1477,I723)&gt;1,"duplicated","original")</f>
        <v>duplicated</v>
      </c>
      <c r="N723" s="2">
        <f>COUNTIF($I$2:$I723,I723)</f>
        <v>61</v>
      </c>
      <c r="O723" s="8">
        <f t="shared" si="44"/>
        <v>1.7365496484133203</v>
      </c>
      <c r="P723" s="8">
        <f t="shared" si="45"/>
        <v>3.4964220984096119</v>
      </c>
      <c r="Q723">
        <v>90</v>
      </c>
      <c r="R723" s="9">
        <f t="shared" si="47"/>
        <v>1.0759537141187536</v>
      </c>
      <c r="S723">
        <v>56</v>
      </c>
      <c r="T723" s="9">
        <f t="shared" si="46"/>
        <v>-2.4619517221367584</v>
      </c>
    </row>
    <row r="724" spans="1:20" x14ac:dyDescent="0.25">
      <c r="A724">
        <v>723</v>
      </c>
      <c r="B724">
        <v>1</v>
      </c>
      <c r="C724">
        <v>149</v>
      </c>
      <c r="D724">
        <v>68</v>
      </c>
      <c r="E724">
        <v>29</v>
      </c>
      <c r="F724">
        <v>127</v>
      </c>
      <c r="G724">
        <v>29.3</v>
      </c>
      <c r="H724">
        <v>0.34899999999999998</v>
      </c>
      <c r="I724">
        <v>42</v>
      </c>
      <c r="J724">
        <v>1</v>
      </c>
      <c r="K724" t="str">
        <f xml:space="preserve"> IF(COUNTIF($D$2:$D1492,D724)&gt;1,"duplicated","original")</f>
        <v>duplicated</v>
      </c>
      <c r="L724" s="2">
        <f>COUNTIF($D$2:$D724,D724)</f>
        <v>45</v>
      </c>
      <c r="M724" t="str">
        <f xml:space="preserve"> IF(COUNTIF($I$2:$I1492,I724)&gt;1,"duplicated","original")</f>
        <v>duplicated</v>
      </c>
      <c r="N724" s="2">
        <f>COUNTIF($I$2:$I724,I724)</f>
        <v>15</v>
      </c>
      <c r="O724" s="8">
        <f t="shared" si="44"/>
        <v>1.0077721376404618</v>
      </c>
      <c r="P724" s="8">
        <f t="shared" si="45"/>
        <v>2.9622681360324097</v>
      </c>
      <c r="Q724">
        <v>90</v>
      </c>
      <c r="R724" s="9">
        <f t="shared" si="47"/>
        <v>1.0759537141187536</v>
      </c>
      <c r="S724">
        <v>57</v>
      </c>
      <c r="T724" s="9">
        <f t="shared" si="46"/>
        <v>-1.385197893711168</v>
      </c>
    </row>
    <row r="725" spans="1:20" x14ac:dyDescent="0.25">
      <c r="A725">
        <v>724</v>
      </c>
      <c r="B725">
        <v>5</v>
      </c>
      <c r="C725">
        <v>117</v>
      </c>
      <c r="D725">
        <v>86</v>
      </c>
      <c r="E725">
        <v>30</v>
      </c>
      <c r="F725">
        <v>105</v>
      </c>
      <c r="G725">
        <v>39.1</v>
      </c>
      <c r="H725">
        <v>0.251</v>
      </c>
      <c r="I725">
        <v>42</v>
      </c>
      <c r="J725">
        <v>0</v>
      </c>
      <c r="K725" t="str">
        <f xml:space="preserve"> IF(COUNTIF($D$2:$D1493,D725)&gt;1,"duplicated","original")</f>
        <v>duplicated</v>
      </c>
      <c r="L725" s="2">
        <f>COUNTIF($D$2:$D725,D725)</f>
        <v>19</v>
      </c>
      <c r="M725" t="str">
        <f xml:space="preserve"> IF(COUNTIF($I$2:$I1493,I725)&gt;1,"duplicated","original")</f>
        <v>duplicated</v>
      </c>
      <c r="N725" s="2">
        <f>COUNTIF($I$2:$I725,I725)</f>
        <v>16</v>
      </c>
      <c r="O725" s="8">
        <f t="shared" si="44"/>
        <v>4.121212845582666</v>
      </c>
      <c r="P725" s="8">
        <f t="shared" si="45"/>
        <v>2.9622681360324097</v>
      </c>
      <c r="Q725">
        <v>90</v>
      </c>
      <c r="R725" s="9">
        <f t="shared" si="47"/>
        <v>1.0759537141187536</v>
      </c>
      <c r="S725">
        <v>57</v>
      </c>
      <c r="T725" s="9">
        <f t="shared" si="46"/>
        <v>-1.385197893711168</v>
      </c>
    </row>
    <row r="726" spans="1:20" x14ac:dyDescent="0.25">
      <c r="A726">
        <v>725</v>
      </c>
      <c r="B726">
        <v>1</v>
      </c>
      <c r="C726">
        <v>111</v>
      </c>
      <c r="D726">
        <v>94</v>
      </c>
      <c r="E726">
        <v>0</v>
      </c>
      <c r="F726">
        <v>0</v>
      </c>
      <c r="G726">
        <v>32.799999999999997</v>
      </c>
      <c r="H726">
        <v>0.26500000000000001</v>
      </c>
      <c r="I726">
        <v>45</v>
      </c>
      <c r="J726">
        <v>0</v>
      </c>
      <c r="K726" t="str">
        <f xml:space="preserve"> IF(COUNTIF($D$2:$D1480,$D$3)&gt;1,"duplicated","original")</f>
        <v>duplicated</v>
      </c>
      <c r="L726" s="2">
        <f>COUNTIF($D$2:$D726,D726)</f>
        <v>4</v>
      </c>
      <c r="M726" t="str">
        <f xml:space="preserve"> IF(COUNTIF($I$2:$I1494,I726)&gt;1,"duplicated","original")</f>
        <v>duplicated</v>
      </c>
      <c r="N726" s="2">
        <f>COUNTIF($I$2:$I726,I726)</f>
        <v>13</v>
      </c>
      <c r="O726" s="8">
        <f t="shared" si="44"/>
        <v>4.9984392882774493</v>
      </c>
      <c r="P726" s="8">
        <f t="shared" si="45"/>
        <v>3.4314767243495803</v>
      </c>
      <c r="Q726">
        <v>90</v>
      </c>
      <c r="R726" s="9">
        <f t="shared" si="47"/>
        <v>1.0759537141187536</v>
      </c>
      <c r="S726">
        <v>57</v>
      </c>
      <c r="T726" s="9">
        <f t="shared" si="46"/>
        <v>-1.2313759182217978</v>
      </c>
    </row>
    <row r="727" spans="1:20" x14ac:dyDescent="0.25">
      <c r="A727">
        <v>726</v>
      </c>
      <c r="B727">
        <v>4</v>
      </c>
      <c r="C727">
        <v>112</v>
      </c>
      <c r="D727">
        <v>78</v>
      </c>
      <c r="E727">
        <v>40</v>
      </c>
      <c r="F727">
        <v>0</v>
      </c>
      <c r="G727">
        <v>39.4</v>
      </c>
      <c r="H727">
        <v>0.23599999999999999</v>
      </c>
      <c r="I727">
        <v>38</v>
      </c>
      <c r="J727">
        <v>0</v>
      </c>
      <c r="K727" t="str">
        <f xml:space="preserve"> IF(COUNTIF($D$2:$D1495,D727)&gt;1,"duplicated","original")</f>
        <v>duplicated</v>
      </c>
      <c r="L727" s="2">
        <f>COUNTIF($D$2:$D727,D727)</f>
        <v>41</v>
      </c>
      <c r="M727" t="str">
        <f xml:space="preserve"> IF(COUNTIF($I$2:$I1481,I727)&gt;1,"duplicated","original")</f>
        <v>duplicated</v>
      </c>
      <c r="N727" s="2">
        <f>COUNTIF($I$2:$I727,I727)</f>
        <v>16</v>
      </c>
      <c r="O727" s="8">
        <f t="shared" si="44"/>
        <v>2.9973980914445737</v>
      </c>
      <c r="P727" s="8">
        <f t="shared" si="45"/>
        <v>2.1851847770275459</v>
      </c>
      <c r="Q727">
        <v>90</v>
      </c>
      <c r="R727" s="9">
        <f t="shared" si="47"/>
        <v>1.0759537141187536</v>
      </c>
      <c r="S727">
        <v>57</v>
      </c>
      <c r="T727" s="9">
        <f t="shared" si="46"/>
        <v>-1.5902938610303279</v>
      </c>
    </row>
    <row r="728" spans="1:20" x14ac:dyDescent="0.25">
      <c r="A728">
        <v>727</v>
      </c>
      <c r="B728">
        <v>1</v>
      </c>
      <c r="C728">
        <v>116</v>
      </c>
      <c r="D728">
        <v>78</v>
      </c>
      <c r="E728">
        <v>29</v>
      </c>
      <c r="F728">
        <v>180</v>
      </c>
      <c r="G728">
        <v>36.1</v>
      </c>
      <c r="H728">
        <v>0.496</v>
      </c>
      <c r="I728">
        <v>25</v>
      </c>
      <c r="J728">
        <v>0</v>
      </c>
      <c r="K728" t="str">
        <f xml:space="preserve"> IF(COUNTIF($D$2:$D1496,D728)&gt;1,"duplicated","original")</f>
        <v>duplicated</v>
      </c>
      <c r="L728" s="2">
        <f>COUNTIF($D$2:$D728,D728)</f>
        <v>42</v>
      </c>
      <c r="M728" t="str">
        <f xml:space="preserve"> IF(COUNTIF($I$2:$I1496,I728)&gt;1,"duplicated","original")</f>
        <v>duplicated</v>
      </c>
      <c r="N728" s="2">
        <f>COUNTIF($I$2:$I728,I728)</f>
        <v>47</v>
      </c>
      <c r="O728" s="8">
        <f t="shared" si="44"/>
        <v>2.9973980914445737</v>
      </c>
      <c r="P728" s="8">
        <f t="shared" si="45"/>
        <v>2.8679204121186967</v>
      </c>
      <c r="Q728">
        <v>90</v>
      </c>
      <c r="R728" s="9">
        <f t="shared" si="47"/>
        <v>1.0759537141187536</v>
      </c>
      <c r="S728">
        <v>57</v>
      </c>
      <c r="T728" s="9">
        <f t="shared" si="46"/>
        <v>-2.2568557548175985</v>
      </c>
    </row>
    <row r="729" spans="1:20" x14ac:dyDescent="0.25">
      <c r="A729">
        <v>728</v>
      </c>
      <c r="B729">
        <v>0</v>
      </c>
      <c r="C729">
        <v>141</v>
      </c>
      <c r="D729">
        <v>84</v>
      </c>
      <c r="E729">
        <v>26</v>
      </c>
      <c r="F729">
        <v>0</v>
      </c>
      <c r="G729">
        <v>32.4</v>
      </c>
      <c r="H729">
        <v>0.433</v>
      </c>
      <c r="I729">
        <v>22</v>
      </c>
      <c r="J729">
        <v>0</v>
      </c>
      <c r="K729" t="str">
        <f xml:space="preserve"> IF(COUNTIF($D$2:$D1483,$D$3)&gt;1,"duplicated","original")</f>
        <v>duplicated</v>
      </c>
      <c r="L729" s="2">
        <f>COUNTIF($D$2:$D729,D729)</f>
        <v>22</v>
      </c>
      <c r="M729" t="str">
        <f xml:space="preserve"> IF(COUNTIF($I$2:$I1497,I729)&gt;1,"duplicated","original")</f>
        <v>duplicated</v>
      </c>
      <c r="N729" s="2">
        <f>COUNTIF($I$2:$I729,I729)</f>
        <v>65</v>
      </c>
      <c r="O729" s="8">
        <f t="shared" si="44"/>
        <v>3.8709682662863014</v>
      </c>
      <c r="P729" s="8">
        <f t="shared" si="45"/>
        <v>3.3503682618851132</v>
      </c>
      <c r="Q729">
        <v>90</v>
      </c>
      <c r="R729" s="9">
        <f t="shared" si="47"/>
        <v>1.0759537141187536</v>
      </c>
      <c r="S729">
        <v>58</v>
      </c>
      <c r="T729" s="9">
        <f t="shared" si="46"/>
        <v>-2.4106777303069684</v>
      </c>
    </row>
    <row r="730" spans="1:20" x14ac:dyDescent="0.25">
      <c r="A730">
        <v>729</v>
      </c>
      <c r="B730">
        <v>2</v>
      </c>
      <c r="C730">
        <v>175</v>
      </c>
      <c r="D730">
        <v>88</v>
      </c>
      <c r="E730">
        <v>0</v>
      </c>
      <c r="F730">
        <v>0</v>
      </c>
      <c r="G730">
        <v>22.9</v>
      </c>
      <c r="H730">
        <v>0.32600000000000001</v>
      </c>
      <c r="I730">
        <v>22</v>
      </c>
      <c r="J730">
        <v>0</v>
      </c>
      <c r="K730" t="str">
        <f xml:space="preserve"> IF(COUNTIF($D$2:$D1498,D730)&gt;1,"duplicated","original")</f>
        <v>duplicated</v>
      </c>
      <c r="L730" s="2">
        <f>COUNTIF($D$2:$D730,D730)</f>
        <v>21</v>
      </c>
      <c r="M730" t="str">
        <f xml:space="preserve"> IF(COUNTIF($I$2:$I1498,I730)&gt;1,"duplicated","original")</f>
        <v>duplicated</v>
      </c>
      <c r="N730" s="2">
        <f>COUNTIF($I$2:$I730,I730)</f>
        <v>66</v>
      </c>
      <c r="O730" s="8">
        <f t="shared" si="44"/>
        <v>4.3571085961444176</v>
      </c>
      <c r="P730" s="8">
        <f t="shared" si="45"/>
        <v>3.3503682618851132</v>
      </c>
      <c r="Q730">
        <v>90</v>
      </c>
      <c r="R730" s="9">
        <f t="shared" si="47"/>
        <v>1.0759537141187536</v>
      </c>
      <c r="S730">
        <v>58</v>
      </c>
      <c r="T730" s="9">
        <f t="shared" si="46"/>
        <v>-2.4106777303069684</v>
      </c>
    </row>
    <row r="731" spans="1:20" x14ac:dyDescent="0.25">
      <c r="A731">
        <v>730</v>
      </c>
      <c r="B731">
        <v>2</v>
      </c>
      <c r="C731">
        <v>92</v>
      </c>
      <c r="D731">
        <v>52</v>
      </c>
      <c r="E731">
        <v>0</v>
      </c>
      <c r="F731">
        <v>0</v>
      </c>
      <c r="G731">
        <v>30.1</v>
      </c>
      <c r="H731">
        <v>0.14099999999999999</v>
      </c>
      <c r="I731">
        <v>22</v>
      </c>
      <c r="J731">
        <v>0</v>
      </c>
      <c r="K731" t="str">
        <f xml:space="preserve"> IF(COUNTIF($D$2:$D1499,D731)&gt;1,"duplicated","original")</f>
        <v>duplicated</v>
      </c>
      <c r="L731" s="2">
        <f>COUNTIF($D$2:$D731,D731)</f>
        <v>11</v>
      </c>
      <c r="M731" t="str">
        <f xml:space="preserve"> IF(COUNTIF($I$2:$I1485,I731)&gt;1,"duplicated","original")</f>
        <v>duplicated</v>
      </c>
      <c r="N731" s="2">
        <f>COUNTIF($I$2:$I731,I731)</f>
        <v>67</v>
      </c>
      <c r="O731" s="8">
        <f t="shared" si="44"/>
        <v>4.1249975371391949</v>
      </c>
      <c r="P731" s="8">
        <f t="shared" si="45"/>
        <v>3.3503682618851132</v>
      </c>
      <c r="Q731">
        <v>90</v>
      </c>
      <c r="R731" s="9">
        <f t="shared" si="47"/>
        <v>1.0759537141187536</v>
      </c>
      <c r="S731">
        <v>58</v>
      </c>
      <c r="T731" s="9">
        <f t="shared" si="46"/>
        <v>-2.4106777303069684</v>
      </c>
    </row>
    <row r="732" spans="1:20" x14ac:dyDescent="0.25">
      <c r="A732">
        <v>731</v>
      </c>
      <c r="B732">
        <v>3</v>
      </c>
      <c r="C732">
        <v>130</v>
      </c>
      <c r="D732">
        <v>78</v>
      </c>
      <c r="E732">
        <v>23</v>
      </c>
      <c r="F732">
        <v>79</v>
      </c>
      <c r="G732">
        <v>28.4</v>
      </c>
      <c r="H732">
        <v>0.32300000000000001</v>
      </c>
      <c r="I732">
        <v>34</v>
      </c>
      <c r="J732">
        <v>1</v>
      </c>
      <c r="K732" t="str">
        <f xml:space="preserve"> IF(COUNTIF($D$2:$D1486,$D$3)&gt;1,"duplicated","original")</f>
        <v>duplicated</v>
      </c>
      <c r="L732" s="2">
        <f>COUNTIF($D$2:$D732,D732)</f>
        <v>43</v>
      </c>
      <c r="M732" t="str">
        <f xml:space="preserve"> IF(COUNTIF($I$2:$I1500,I732)&gt;1,"duplicated","original")</f>
        <v>duplicated</v>
      </c>
      <c r="N732" s="2">
        <f>COUNTIF($I$2:$I732,I732)</f>
        <v>14</v>
      </c>
      <c r="O732" s="8">
        <f t="shared" si="44"/>
        <v>2.9973980914445737</v>
      </c>
      <c r="P732" s="8">
        <f t="shared" si="45"/>
        <v>0.88035930718822164</v>
      </c>
      <c r="Q732">
        <v>90</v>
      </c>
      <c r="R732" s="9">
        <f t="shared" si="47"/>
        <v>1.0759537141187536</v>
      </c>
      <c r="S732">
        <v>58</v>
      </c>
      <c r="T732" s="9">
        <f t="shared" si="46"/>
        <v>-1.795389828349488</v>
      </c>
    </row>
    <row r="733" spans="1:20" x14ac:dyDescent="0.25">
      <c r="A733">
        <v>732</v>
      </c>
      <c r="B733">
        <v>8</v>
      </c>
      <c r="C733">
        <v>120</v>
      </c>
      <c r="D733">
        <v>86</v>
      </c>
      <c r="E733">
        <v>0</v>
      </c>
      <c r="F733">
        <v>0</v>
      </c>
      <c r="G733">
        <v>28.4</v>
      </c>
      <c r="H733">
        <v>0.25900000000000001</v>
      </c>
      <c r="I733">
        <v>22</v>
      </c>
      <c r="J733">
        <v>1</v>
      </c>
      <c r="K733" t="str">
        <f xml:space="preserve"> IF(COUNTIF($D$2:$D1501,D733)&gt;1,"duplicated","original")</f>
        <v>duplicated</v>
      </c>
      <c r="L733" s="2">
        <f>COUNTIF($D$2:$D733,D733)</f>
        <v>20</v>
      </c>
      <c r="M733" t="str">
        <f xml:space="preserve"> IF(COUNTIF($I$2:$I1501,I733)&gt;1,"duplicated","original")</f>
        <v>duplicated</v>
      </c>
      <c r="N733" s="2">
        <f>COUNTIF($I$2:$I733,I733)</f>
        <v>68</v>
      </c>
      <c r="O733" s="8">
        <f t="shared" si="44"/>
        <v>4.121212845582666</v>
      </c>
      <c r="P733" s="8">
        <f t="shared" si="45"/>
        <v>3.3503682618851132</v>
      </c>
      <c r="Q733">
        <v>92</v>
      </c>
      <c r="R733" s="9">
        <f t="shared" si="47"/>
        <v>1.1785016977783338</v>
      </c>
      <c r="S733">
        <v>58</v>
      </c>
      <c r="T733" s="9">
        <f t="shared" si="46"/>
        <v>-2.4106777303069684</v>
      </c>
    </row>
    <row r="734" spans="1:20" x14ac:dyDescent="0.25">
      <c r="A734">
        <v>733</v>
      </c>
      <c r="B734">
        <v>2</v>
      </c>
      <c r="C734">
        <v>174</v>
      </c>
      <c r="D734">
        <v>88</v>
      </c>
      <c r="E734">
        <v>37</v>
      </c>
      <c r="F734">
        <v>120</v>
      </c>
      <c r="G734">
        <v>44.5</v>
      </c>
      <c r="H734">
        <v>0.64600000000000002</v>
      </c>
      <c r="I734">
        <v>24</v>
      </c>
      <c r="J734">
        <v>1</v>
      </c>
      <c r="K734" t="str">
        <f xml:space="preserve"> IF(COUNTIF($D$2:$D1502,D734)&gt;1,"duplicated","original")</f>
        <v>duplicated</v>
      </c>
      <c r="L734" s="2">
        <f>COUNTIF($D$2:$D734,D734)</f>
        <v>22</v>
      </c>
      <c r="M734" t="str">
        <f xml:space="preserve"> IF(COUNTIF($I$2:$I1502,I734)&gt;1,"duplicated","original")</f>
        <v>duplicated</v>
      </c>
      <c r="N734" s="2">
        <f>COUNTIF($I$2:$I734,I734)</f>
        <v>46</v>
      </c>
      <c r="O734" s="8">
        <f t="shared" si="44"/>
        <v>4.3571085961444176</v>
      </c>
      <c r="P734" s="8">
        <f t="shared" si="45"/>
        <v>3.0372631578852487</v>
      </c>
      <c r="Q734">
        <v>92</v>
      </c>
      <c r="R734" s="9">
        <f t="shared" si="47"/>
        <v>1.1785016977783338</v>
      </c>
      <c r="S734">
        <v>58</v>
      </c>
      <c r="T734" s="9">
        <f t="shared" si="46"/>
        <v>-2.3081297466473885</v>
      </c>
    </row>
    <row r="735" spans="1:20" x14ac:dyDescent="0.25">
      <c r="A735">
        <v>734</v>
      </c>
      <c r="B735">
        <v>2</v>
      </c>
      <c r="C735">
        <v>106</v>
      </c>
      <c r="D735">
        <v>56</v>
      </c>
      <c r="E735">
        <v>27</v>
      </c>
      <c r="F735">
        <v>165</v>
      </c>
      <c r="G735">
        <v>29</v>
      </c>
      <c r="H735">
        <v>0.42599999999999999</v>
      </c>
      <c r="I735">
        <v>22</v>
      </c>
      <c r="J735">
        <v>0</v>
      </c>
      <c r="K735" t="str">
        <f xml:space="preserve"> IF(COUNTIF($D$2:$D1489,$D$3)&gt;1,"duplicated","original")</f>
        <v>duplicated</v>
      </c>
      <c r="L735" s="2">
        <f>COUNTIF($D$2:$D735,D735)</f>
        <v>12</v>
      </c>
      <c r="M735" t="str">
        <f xml:space="preserve"> IF(COUNTIF($I$2:$I1489,I735)&gt;1,"duplicated","original")</f>
        <v>duplicated</v>
      </c>
      <c r="N735" s="2">
        <f>COUNTIF($I$2:$I735,I735)</f>
        <v>69</v>
      </c>
      <c r="O735" s="8">
        <f t="shared" si="44"/>
        <v>3.6077146064239098</v>
      </c>
      <c r="P735" s="8">
        <f t="shared" si="45"/>
        <v>3.3503682618851132</v>
      </c>
      <c r="Q735">
        <v>92</v>
      </c>
      <c r="R735" s="9">
        <f t="shared" si="47"/>
        <v>1.1785016977783338</v>
      </c>
      <c r="S735">
        <v>58</v>
      </c>
      <c r="T735" s="9">
        <f t="shared" si="46"/>
        <v>-2.4106777303069684</v>
      </c>
    </row>
    <row r="736" spans="1:20" x14ac:dyDescent="0.25">
      <c r="A736">
        <v>735</v>
      </c>
      <c r="B736">
        <v>2</v>
      </c>
      <c r="C736">
        <v>105</v>
      </c>
      <c r="D736">
        <v>75</v>
      </c>
      <c r="E736">
        <v>0</v>
      </c>
      <c r="F736">
        <v>0</v>
      </c>
      <c r="G736">
        <v>23.3</v>
      </c>
      <c r="H736">
        <v>0.56000000000000005</v>
      </c>
      <c r="I736">
        <v>53</v>
      </c>
      <c r="J736">
        <v>0</v>
      </c>
      <c r="K736" t="str">
        <f xml:space="preserve"> IF(COUNTIF($D$2:$D1504,D736)&gt;1,"duplicated","original")</f>
        <v>duplicated</v>
      </c>
      <c r="L736" s="2">
        <f>COUNTIF($D$2:$D736,D736)</f>
        <v>8</v>
      </c>
      <c r="M736" t="str">
        <f xml:space="preserve"> IF(COUNTIF($I$2:$I1504,I736)&gt;1,"duplicated","original")</f>
        <v>duplicated</v>
      </c>
      <c r="N736" s="2">
        <f>COUNTIF($I$2:$I736,I736)</f>
        <v>5</v>
      </c>
      <c r="O736" s="8">
        <f t="shared" si="44"/>
        <v>2.4463023767710266</v>
      </c>
      <c r="P736" s="8">
        <f t="shared" si="45"/>
        <v>4.4469126941905355</v>
      </c>
      <c r="Q736">
        <v>92</v>
      </c>
      <c r="R736" s="9">
        <f t="shared" si="47"/>
        <v>1.1785016977783338</v>
      </c>
      <c r="S736">
        <v>59</v>
      </c>
      <c r="T736" s="9">
        <f t="shared" si="46"/>
        <v>-0.82118398358347755</v>
      </c>
    </row>
    <row r="737" spans="1:20" x14ac:dyDescent="0.25">
      <c r="A737">
        <v>736</v>
      </c>
      <c r="B737">
        <v>4</v>
      </c>
      <c r="C737">
        <v>95</v>
      </c>
      <c r="D737">
        <v>60</v>
      </c>
      <c r="E737">
        <v>32</v>
      </c>
      <c r="F737">
        <v>0</v>
      </c>
      <c r="G737">
        <v>35.4</v>
      </c>
      <c r="H737">
        <v>0.28399999999999997</v>
      </c>
      <c r="I737">
        <v>28</v>
      </c>
      <c r="J737">
        <v>0</v>
      </c>
      <c r="K737" t="str">
        <f xml:space="preserve"> IF(COUNTIF($D$2:$D1505,D737)&gt;1,"duplicated","original")</f>
        <v>duplicated</v>
      </c>
      <c r="L737" s="2">
        <f>COUNTIF($D$2:$D737,D737)</f>
        <v>35</v>
      </c>
      <c r="M737" t="str">
        <f xml:space="preserve"> IF(COUNTIF($I$2:$I1505,I737)&gt;1,"duplicated","original")</f>
        <v>duplicated</v>
      </c>
      <c r="N737" s="2">
        <f>COUNTIF($I$2:$I737,I737)</f>
        <v>34</v>
      </c>
      <c r="O737" s="8">
        <f t="shared" si="44"/>
        <v>3.002599653867366</v>
      </c>
      <c r="P737" s="8">
        <f t="shared" si="45"/>
        <v>2.2858187789601945</v>
      </c>
      <c r="Q737">
        <v>92</v>
      </c>
      <c r="R737" s="9">
        <f t="shared" si="47"/>
        <v>1.1785016977783338</v>
      </c>
      <c r="S737">
        <v>59</v>
      </c>
      <c r="T737" s="9">
        <f t="shared" si="46"/>
        <v>-2.1030337793282281</v>
      </c>
    </row>
    <row r="738" spans="1:20" x14ac:dyDescent="0.25">
      <c r="A738">
        <v>737</v>
      </c>
      <c r="B738">
        <v>0</v>
      </c>
      <c r="C738">
        <v>126</v>
      </c>
      <c r="D738">
        <v>86</v>
      </c>
      <c r="E738">
        <v>27</v>
      </c>
      <c r="F738">
        <v>120</v>
      </c>
      <c r="G738">
        <v>27.4</v>
      </c>
      <c r="H738">
        <v>0.51500000000000001</v>
      </c>
      <c r="I738">
        <v>21</v>
      </c>
      <c r="J738">
        <v>0</v>
      </c>
      <c r="K738" t="str">
        <f xml:space="preserve"> IF(COUNTIF($D$2:$D1492,$D$3)&gt;1,"duplicated","original")</f>
        <v>duplicated</v>
      </c>
      <c r="L738" s="2">
        <f>COUNTIF($D$2:$D738,D738)</f>
        <v>21</v>
      </c>
      <c r="M738" t="str">
        <f xml:space="preserve"> IF(COUNTIF($I$2:$I1506,I738)&gt;1,"duplicated","original")</f>
        <v>duplicated</v>
      </c>
      <c r="N738" s="2">
        <f>COUNTIF($I$2:$I738,I738)</f>
        <v>62</v>
      </c>
      <c r="O738" s="8">
        <f t="shared" si="44"/>
        <v>4.121212845582666</v>
      </c>
      <c r="P738" s="8">
        <f t="shared" si="45"/>
        <v>3.4964220984096119</v>
      </c>
      <c r="Q738">
        <v>92</v>
      </c>
      <c r="R738" s="9">
        <f t="shared" si="47"/>
        <v>1.1785016977783338</v>
      </c>
      <c r="S738">
        <v>59</v>
      </c>
      <c r="T738" s="9">
        <f t="shared" si="46"/>
        <v>-2.4619517221367584</v>
      </c>
    </row>
    <row r="739" spans="1:20" x14ac:dyDescent="0.25">
      <c r="A739">
        <v>738</v>
      </c>
      <c r="B739">
        <v>8</v>
      </c>
      <c r="C739">
        <v>65</v>
      </c>
      <c r="D739">
        <v>72</v>
      </c>
      <c r="E739">
        <v>23</v>
      </c>
      <c r="F739">
        <v>0</v>
      </c>
      <c r="G739">
        <v>32</v>
      </c>
      <c r="H739">
        <v>0.6</v>
      </c>
      <c r="I739">
        <v>42</v>
      </c>
      <c r="J739">
        <v>0</v>
      </c>
      <c r="K739" t="str">
        <f xml:space="preserve"> IF(COUNTIF($D$2:$D1507,D739)&gt;1,"duplicated","original")</f>
        <v>duplicated</v>
      </c>
      <c r="L739" s="2">
        <f>COUNTIF($D$2:$D739,D739)</f>
        <v>42</v>
      </c>
      <c r="M739" t="str">
        <f xml:space="preserve"> IF(COUNTIF($I$2:$I1493,I739)&gt;1,"duplicated","original")</f>
        <v>duplicated</v>
      </c>
      <c r="N739" s="2">
        <f>COUNTIF($I$2:$I739,I739)</f>
        <v>17</v>
      </c>
      <c r="O739" s="8">
        <f t="shared" si="44"/>
        <v>1.7275402509335562</v>
      </c>
      <c r="P739" s="8">
        <f t="shared" si="45"/>
        <v>2.9622681360324097</v>
      </c>
      <c r="Q739">
        <v>92</v>
      </c>
      <c r="R739" s="9">
        <f t="shared" si="47"/>
        <v>1.1785016977783338</v>
      </c>
      <c r="S739">
        <v>60</v>
      </c>
      <c r="T739" s="9">
        <f t="shared" si="46"/>
        <v>-1.385197893711168</v>
      </c>
    </row>
    <row r="740" spans="1:20" x14ac:dyDescent="0.25">
      <c r="A740">
        <v>739</v>
      </c>
      <c r="B740">
        <v>2</v>
      </c>
      <c r="C740">
        <v>99</v>
      </c>
      <c r="D740">
        <v>60</v>
      </c>
      <c r="E740">
        <v>17</v>
      </c>
      <c r="F740">
        <v>160</v>
      </c>
      <c r="G740">
        <v>36.6</v>
      </c>
      <c r="H740">
        <v>0.45300000000000001</v>
      </c>
      <c r="I740">
        <v>21</v>
      </c>
      <c r="J740">
        <v>0</v>
      </c>
      <c r="K740" t="str">
        <f xml:space="preserve"> IF(COUNTIF($D$2:$D1508,D740)&gt;1,"duplicated","original")</f>
        <v>duplicated</v>
      </c>
      <c r="L740" s="2">
        <f>COUNTIF($D$2:$D740,D740)</f>
        <v>36</v>
      </c>
      <c r="M740" t="str">
        <f xml:space="preserve"> IF(COUNTIF($I$2:$I1508,I740)&gt;1,"duplicated","original")</f>
        <v>duplicated</v>
      </c>
      <c r="N740" s="2">
        <f>COUNTIF($I$2:$I740,I740)</f>
        <v>63</v>
      </c>
      <c r="O740" s="8">
        <f t="shared" si="44"/>
        <v>3.002599653867366</v>
      </c>
      <c r="P740" s="8">
        <f t="shared" si="45"/>
        <v>3.4964220984096119</v>
      </c>
      <c r="Q740">
        <v>92</v>
      </c>
      <c r="R740" s="9">
        <f t="shared" si="47"/>
        <v>1.1785016977783338</v>
      </c>
      <c r="S740">
        <v>60</v>
      </c>
      <c r="T740" s="9">
        <f t="shared" si="46"/>
        <v>-2.4619517221367584</v>
      </c>
    </row>
    <row r="741" spans="1:20" x14ac:dyDescent="0.25">
      <c r="A741">
        <v>740</v>
      </c>
      <c r="B741">
        <v>1</v>
      </c>
      <c r="C741">
        <v>102</v>
      </c>
      <c r="D741">
        <v>74</v>
      </c>
      <c r="E741">
        <v>0</v>
      </c>
      <c r="F741">
        <v>0</v>
      </c>
      <c r="G741">
        <v>39.5</v>
      </c>
      <c r="H741">
        <v>0.29299999999999998</v>
      </c>
      <c r="I741">
        <v>42</v>
      </c>
      <c r="J741">
        <v>1</v>
      </c>
      <c r="K741" t="str">
        <f xml:space="preserve"> IF(COUNTIF($D$2:$D1495,$D$3)&gt;1,"duplicated","original")</f>
        <v>duplicated</v>
      </c>
      <c r="L741" s="2">
        <f>COUNTIF($D$2:$D741,D741)</f>
        <v>50</v>
      </c>
      <c r="M741" t="str">
        <f xml:space="preserve"> IF(COUNTIF($I$2:$I1509,I741)&gt;1,"duplicated","original")</f>
        <v>duplicated</v>
      </c>
      <c r="N741" s="2">
        <f>COUNTIF($I$2:$I741,I741)</f>
        <v>18</v>
      </c>
      <c r="O741" s="8">
        <f t="shared" si="44"/>
        <v>2.2325759379236296</v>
      </c>
      <c r="P741" s="8">
        <f t="shared" si="45"/>
        <v>2.9622681360324097</v>
      </c>
      <c r="Q741">
        <v>94</v>
      </c>
      <c r="R741" s="9">
        <f t="shared" si="47"/>
        <v>1.2810496814379138</v>
      </c>
      <c r="S741">
        <v>60</v>
      </c>
      <c r="T741" s="9">
        <f t="shared" si="46"/>
        <v>-1.385197893711168</v>
      </c>
    </row>
    <row r="742" spans="1:20" x14ac:dyDescent="0.25">
      <c r="A742">
        <v>741</v>
      </c>
      <c r="B742">
        <v>11</v>
      </c>
      <c r="C742">
        <v>120</v>
      </c>
      <c r="D742">
        <v>80</v>
      </c>
      <c r="E742">
        <v>37</v>
      </c>
      <c r="F742">
        <v>150</v>
      </c>
      <c r="G742">
        <v>42.3</v>
      </c>
      <c r="H742">
        <v>0.78500000000000003</v>
      </c>
      <c r="I742">
        <v>48</v>
      </c>
      <c r="J742">
        <v>1</v>
      </c>
      <c r="K742" t="str">
        <f xml:space="preserve"> IF(COUNTIF($D$2:$D1510,D742)&gt;1,"duplicated","original")</f>
        <v>duplicated</v>
      </c>
      <c r="L742" s="2">
        <f>COUNTIF($D$2:$D742,D742)</f>
        <v>40</v>
      </c>
      <c r="M742" t="str">
        <f xml:space="preserve"> IF(COUNTIF($I$2:$I1510,I742)&gt;1,"duplicated","original")</f>
        <v>duplicated</v>
      </c>
      <c r="N742" s="2">
        <f>COUNTIF($I$2:$I742,I742)</f>
        <v>5</v>
      </c>
      <c r="O742" s="8">
        <f t="shared" si="44"/>
        <v>3.3142714612106796</v>
      </c>
      <c r="P742" s="8">
        <f t="shared" si="45"/>
        <v>3.8438304475812828</v>
      </c>
      <c r="Q742">
        <v>94</v>
      </c>
      <c r="R742" s="9">
        <f t="shared" si="47"/>
        <v>1.2810496814379138</v>
      </c>
      <c r="S742">
        <v>60</v>
      </c>
      <c r="T742" s="9">
        <f t="shared" si="46"/>
        <v>-1.0775539427324277</v>
      </c>
    </row>
    <row r="743" spans="1:20" x14ac:dyDescent="0.25">
      <c r="A743">
        <v>742</v>
      </c>
      <c r="B743">
        <v>3</v>
      </c>
      <c r="C743">
        <v>102</v>
      </c>
      <c r="D743">
        <v>44</v>
      </c>
      <c r="E743">
        <v>20</v>
      </c>
      <c r="F743">
        <v>94</v>
      </c>
      <c r="G743">
        <v>30.8</v>
      </c>
      <c r="H743">
        <v>0.4</v>
      </c>
      <c r="I743">
        <v>26</v>
      </c>
      <c r="J743">
        <v>0</v>
      </c>
      <c r="K743" t="str">
        <f xml:space="preserve"> IF(COUNTIF($D$2:$D1511,D743)&gt;1,"duplicated","original")</f>
        <v>duplicated</v>
      </c>
      <c r="L743" s="2">
        <f>COUNTIF($D$2:$D743,D743)</f>
        <v>4</v>
      </c>
      <c r="M743" t="str">
        <f xml:space="preserve"> IF(COUNTIF($I$2:$I1497,I743)&gt;1,"duplicated","original")</f>
        <v>duplicated</v>
      </c>
      <c r="N743" s="2">
        <f>COUNTIF($I$2:$I743,I743)</f>
        <v>31</v>
      </c>
      <c r="O743" s="8">
        <f t="shared" si="44"/>
        <v>5.0015602247103281</v>
      </c>
      <c r="P743" s="8">
        <f t="shared" si="45"/>
        <v>2.6879299637912952</v>
      </c>
      <c r="Q743">
        <v>94</v>
      </c>
      <c r="R743" s="9">
        <f t="shared" si="47"/>
        <v>1.2810496814379138</v>
      </c>
      <c r="S743">
        <v>60</v>
      </c>
      <c r="T743" s="9">
        <f t="shared" si="46"/>
        <v>-2.2055817629878085</v>
      </c>
    </row>
    <row r="744" spans="1:20" x14ac:dyDescent="0.25">
      <c r="A744">
        <v>743</v>
      </c>
      <c r="B744">
        <v>1</v>
      </c>
      <c r="C744">
        <v>109</v>
      </c>
      <c r="D744">
        <v>58</v>
      </c>
      <c r="E744">
        <v>18</v>
      </c>
      <c r="F744">
        <v>116</v>
      </c>
      <c r="G744">
        <v>28.5</v>
      </c>
      <c r="H744">
        <v>0.219</v>
      </c>
      <c r="I744">
        <v>22</v>
      </c>
      <c r="J744">
        <v>0</v>
      </c>
      <c r="K744" t="str">
        <f xml:space="preserve"> IF(COUNTIF($D$2:$D1498,$D$3)&gt;1,"duplicated","original")</f>
        <v>duplicated</v>
      </c>
      <c r="L744" s="2">
        <f>COUNTIF($D$2:$D744,D744)</f>
        <v>20</v>
      </c>
      <c r="M744" t="str">
        <f xml:space="preserve"> IF(COUNTIF($I$2:$I1512,I744)&gt;1,"duplicated","original")</f>
        <v>duplicated</v>
      </c>
      <c r="N744" s="2">
        <f>COUNTIF($I$2:$I744,I744)</f>
        <v>70</v>
      </c>
      <c r="O744" s="8">
        <f t="shared" si="44"/>
        <v>3.3189764508662045</v>
      </c>
      <c r="P744" s="8">
        <f t="shared" si="45"/>
        <v>3.3503682618851132</v>
      </c>
      <c r="Q744">
        <v>94</v>
      </c>
      <c r="R744" s="9">
        <f t="shared" si="47"/>
        <v>1.2810496814379138</v>
      </c>
      <c r="S744">
        <v>61</v>
      </c>
      <c r="T744" s="9">
        <f t="shared" si="46"/>
        <v>-2.4106777303069684</v>
      </c>
    </row>
    <row r="745" spans="1:20" x14ac:dyDescent="0.25">
      <c r="A745">
        <v>744</v>
      </c>
      <c r="B745">
        <v>9</v>
      </c>
      <c r="C745">
        <v>140</v>
      </c>
      <c r="D745">
        <v>94</v>
      </c>
      <c r="E745">
        <v>0</v>
      </c>
      <c r="F745">
        <v>0</v>
      </c>
      <c r="G745">
        <v>32.700000000000003</v>
      </c>
      <c r="H745">
        <v>0.73399999999999999</v>
      </c>
      <c r="I745">
        <v>45</v>
      </c>
      <c r="J745">
        <v>1</v>
      </c>
      <c r="K745" t="str">
        <f xml:space="preserve"> IF(COUNTIF($D$2:$D1513,D745)&gt;1,"duplicated","original")</f>
        <v>duplicated</v>
      </c>
      <c r="L745" s="2">
        <f>COUNTIF($D$2:$D745,D745)</f>
        <v>5</v>
      </c>
      <c r="M745" t="str">
        <f xml:space="preserve"> IF(COUNTIF($I$2:$I1513,I745)&gt;1,"duplicated","original")</f>
        <v>duplicated</v>
      </c>
      <c r="N745" s="2">
        <f>COUNTIF($I$2:$I745,I745)</f>
        <v>14</v>
      </c>
      <c r="O745" s="8">
        <f t="shared" si="44"/>
        <v>4.9984392882774493</v>
      </c>
      <c r="P745" s="8">
        <f t="shared" si="45"/>
        <v>3.4314767243495803</v>
      </c>
      <c r="Q745">
        <v>94</v>
      </c>
      <c r="R745" s="9">
        <f t="shared" si="47"/>
        <v>1.2810496814379138</v>
      </c>
      <c r="S745">
        <v>61</v>
      </c>
      <c r="T745" s="9">
        <f t="shared" si="46"/>
        <v>-1.2313759182217978</v>
      </c>
    </row>
    <row r="746" spans="1:20" x14ac:dyDescent="0.25">
      <c r="A746">
        <v>745</v>
      </c>
      <c r="B746">
        <v>13</v>
      </c>
      <c r="C746">
        <v>153</v>
      </c>
      <c r="D746">
        <v>88</v>
      </c>
      <c r="E746">
        <v>37</v>
      </c>
      <c r="F746">
        <v>140</v>
      </c>
      <c r="G746">
        <v>40.6</v>
      </c>
      <c r="H746">
        <v>1.1739999999999999</v>
      </c>
      <c r="I746">
        <v>39</v>
      </c>
      <c r="J746">
        <v>0</v>
      </c>
      <c r="K746" t="str">
        <f xml:space="preserve"> IF(COUNTIF($D$2:$D1514,D746)&gt;1,"duplicated","original")</f>
        <v>duplicated</v>
      </c>
      <c r="L746" s="2">
        <f>COUNTIF($D$2:$D746,D746)</f>
        <v>23</v>
      </c>
      <c r="M746" t="str">
        <f xml:space="preserve"> IF(COUNTIF($I$2:$I1514,I746)&gt;1,"duplicated","original")</f>
        <v>duplicated</v>
      </c>
      <c r="N746" s="2">
        <f>COUNTIF($I$2:$I746,I746)</f>
        <v>11</v>
      </c>
      <c r="O746" s="8">
        <f t="shared" si="44"/>
        <v>4.3571085961444176</v>
      </c>
      <c r="P746" s="8">
        <f t="shared" si="45"/>
        <v>2.4031297321936087</v>
      </c>
      <c r="Q746">
        <v>94</v>
      </c>
      <c r="R746" s="9">
        <f t="shared" si="47"/>
        <v>1.2810496814379138</v>
      </c>
      <c r="S746">
        <v>62</v>
      </c>
      <c r="T746" s="9">
        <f t="shared" si="46"/>
        <v>-1.5390198692005379</v>
      </c>
    </row>
    <row r="747" spans="1:20" x14ac:dyDescent="0.25">
      <c r="A747">
        <v>746</v>
      </c>
      <c r="B747">
        <v>12</v>
      </c>
      <c r="C747">
        <v>100</v>
      </c>
      <c r="D747">
        <v>84</v>
      </c>
      <c r="E747">
        <v>33</v>
      </c>
      <c r="F747">
        <v>105</v>
      </c>
      <c r="G747">
        <v>30</v>
      </c>
      <c r="H747">
        <v>0.48799999999999999</v>
      </c>
      <c r="I747">
        <v>46</v>
      </c>
      <c r="J747">
        <v>0</v>
      </c>
      <c r="K747" t="str">
        <f xml:space="preserve"> IF(COUNTIF($D$2:$D1501,$D$3)&gt;1,"duplicated","original")</f>
        <v>duplicated</v>
      </c>
      <c r="L747" s="2">
        <f>COUNTIF($D$2:$D747,D747)</f>
        <v>23</v>
      </c>
      <c r="M747" t="str">
        <f xml:space="preserve"> IF(COUNTIF($I$2:$I1501,I747)&gt;1,"duplicated","original")</f>
        <v>duplicated</v>
      </c>
      <c r="N747" s="2">
        <f>COUNTIF($I$2:$I747,I747)</f>
        <v>13</v>
      </c>
      <c r="O747" s="8">
        <f t="shared" si="44"/>
        <v>3.8709682662863014</v>
      </c>
      <c r="P747" s="8">
        <f t="shared" si="45"/>
        <v>3.5742177479489028</v>
      </c>
      <c r="Q747">
        <v>95</v>
      </c>
      <c r="R747" s="9">
        <f t="shared" si="47"/>
        <v>1.3323236732677037</v>
      </c>
      <c r="S747">
        <v>62</v>
      </c>
      <c r="T747" s="9">
        <f t="shared" si="46"/>
        <v>-1.1801019263920078</v>
      </c>
    </row>
    <row r="748" spans="1:20" x14ac:dyDescent="0.25">
      <c r="A748">
        <v>747</v>
      </c>
      <c r="B748">
        <v>1</v>
      </c>
      <c r="C748">
        <v>147</v>
      </c>
      <c r="D748">
        <v>94</v>
      </c>
      <c r="E748">
        <v>41</v>
      </c>
      <c r="F748">
        <v>0</v>
      </c>
      <c r="G748">
        <v>49.3</v>
      </c>
      <c r="H748">
        <v>0.35799999999999998</v>
      </c>
      <c r="I748">
        <v>27</v>
      </c>
      <c r="J748">
        <v>1</v>
      </c>
      <c r="K748" t="str">
        <f xml:space="preserve"> IF(COUNTIF($D$2:$D1516,D748)&gt;1,"duplicated","original")</f>
        <v>duplicated</v>
      </c>
      <c r="L748" s="2">
        <f>COUNTIF($D$2:$D748,D748)</f>
        <v>6</v>
      </c>
      <c r="M748" t="str">
        <f xml:space="preserve"> IF(COUNTIF($I$2:$I1516,I748)&gt;1,"duplicated","original")</f>
        <v>duplicated</v>
      </c>
      <c r="N748" s="2">
        <f>COUNTIF($I$2:$I748,I748)</f>
        <v>31</v>
      </c>
      <c r="O748" s="8">
        <f t="shared" si="44"/>
        <v>4.9984392882774493</v>
      </c>
      <c r="P748" s="8">
        <f t="shared" si="45"/>
        <v>2.4949884749727951</v>
      </c>
      <c r="Q748">
        <v>96</v>
      </c>
      <c r="R748" s="9">
        <f t="shared" si="47"/>
        <v>1.3835976650974939</v>
      </c>
      <c r="S748">
        <v>62</v>
      </c>
      <c r="T748" s="9">
        <f t="shared" si="46"/>
        <v>-2.1543077711580185</v>
      </c>
    </row>
    <row r="749" spans="1:20" x14ac:dyDescent="0.25">
      <c r="A749">
        <v>748</v>
      </c>
      <c r="B749">
        <v>1</v>
      </c>
      <c r="C749">
        <v>81</v>
      </c>
      <c r="D749">
        <v>74</v>
      </c>
      <c r="E749">
        <v>41</v>
      </c>
      <c r="F749">
        <v>57</v>
      </c>
      <c r="G749">
        <v>46.3</v>
      </c>
      <c r="H749">
        <v>1.0960000000000001</v>
      </c>
      <c r="I749">
        <v>32</v>
      </c>
      <c r="J749">
        <v>0</v>
      </c>
      <c r="K749" t="str">
        <f xml:space="preserve"> IF(COUNTIF($D$2:$D1517,D749)&gt;1,"duplicated","original")</f>
        <v>duplicated</v>
      </c>
      <c r="L749" s="2">
        <f>COUNTIF($D$2:$D749,D749)</f>
        <v>51</v>
      </c>
      <c r="M749" t="str">
        <f xml:space="preserve"> IF(COUNTIF($I$2:$I1517,I749)&gt;1,"duplicated","original")</f>
        <v>duplicated</v>
      </c>
      <c r="N749" s="2">
        <f>COUNTIF($I$2:$I749,I749)</f>
        <v>16</v>
      </c>
      <c r="O749" s="8">
        <f t="shared" si="44"/>
        <v>2.2325759379236296</v>
      </c>
      <c r="P749" s="8">
        <f t="shared" si="45"/>
        <v>1.1067824945521474</v>
      </c>
      <c r="Q749">
        <v>96</v>
      </c>
      <c r="R749" s="9">
        <f t="shared" si="47"/>
        <v>1.3835976650974939</v>
      </c>
      <c r="S749">
        <v>62</v>
      </c>
      <c r="T749" s="9">
        <f t="shared" si="46"/>
        <v>-1.8979378120090682</v>
      </c>
    </row>
    <row r="750" spans="1:20" x14ac:dyDescent="0.25">
      <c r="A750">
        <v>749</v>
      </c>
      <c r="B750">
        <v>3</v>
      </c>
      <c r="C750">
        <v>187</v>
      </c>
      <c r="D750">
        <v>70</v>
      </c>
      <c r="E750">
        <v>22</v>
      </c>
      <c r="F750">
        <v>200</v>
      </c>
      <c r="G750">
        <v>36.4</v>
      </c>
      <c r="H750">
        <v>0.40799999999999997</v>
      </c>
      <c r="I750">
        <v>36</v>
      </c>
      <c r="J750">
        <v>1</v>
      </c>
      <c r="K750" t="str">
        <f xml:space="preserve"> IF(COUNTIF($D$2:$D1504,$D$3)&gt;1,"duplicated","original")</f>
        <v>duplicated</v>
      </c>
      <c r="L750" s="2">
        <f>COUNTIF($D$2:$D750,D750)</f>
        <v>54</v>
      </c>
      <c r="M750" t="str">
        <f xml:space="preserve"> IF(COUNTIF($I$2:$I1518,I750)&gt;1,"duplicated","original")</f>
        <v>duplicated</v>
      </c>
      <c r="N750" s="2">
        <f>COUNTIF($I$2:$I750,I750)</f>
        <v>16</v>
      </c>
      <c r="O750" s="8">
        <f t="shared" si="44"/>
        <v>0.99216698120607405</v>
      </c>
      <c r="P750" s="8">
        <f t="shared" si="45"/>
        <v>1.6658428826731906</v>
      </c>
      <c r="Q750">
        <v>96</v>
      </c>
      <c r="R750" s="9">
        <f t="shared" si="47"/>
        <v>1.3835976650974939</v>
      </c>
      <c r="S750">
        <v>63</v>
      </c>
      <c r="T750" s="9">
        <f t="shared" si="46"/>
        <v>-1.6928418446899081</v>
      </c>
    </row>
    <row r="751" spans="1:20" x14ac:dyDescent="0.25">
      <c r="A751">
        <v>750</v>
      </c>
      <c r="B751">
        <v>6</v>
      </c>
      <c r="C751">
        <v>162</v>
      </c>
      <c r="D751">
        <v>62</v>
      </c>
      <c r="E751">
        <v>0</v>
      </c>
      <c r="F751">
        <v>0</v>
      </c>
      <c r="G751">
        <v>24.3</v>
      </c>
      <c r="H751">
        <v>0.17799999999999999</v>
      </c>
      <c r="I751">
        <v>50</v>
      </c>
      <c r="J751">
        <v>1</v>
      </c>
      <c r="K751" t="str">
        <f xml:space="preserve"> IF(COUNTIF($D$2:$D1519,D751)&gt;1,"duplicated","original")</f>
        <v>duplicated</v>
      </c>
      <c r="L751" s="2">
        <f>COUNTIF($D$2:$D751,D751)</f>
        <v>32</v>
      </c>
      <c r="M751" t="str">
        <f xml:space="preserve"> IF(COUNTIF($I$2:$I1505,I751)&gt;1,"duplicated","original")</f>
        <v>duplicated</v>
      </c>
      <c r="N751" s="2">
        <f>COUNTIF($I$2:$I751,I751)</f>
        <v>8</v>
      </c>
      <c r="O751" s="8">
        <f t="shared" si="44"/>
        <v>2.648698676974115</v>
      </c>
      <c r="P751" s="8">
        <f t="shared" si="45"/>
        <v>4.095733451990367</v>
      </c>
      <c r="Q751">
        <v>96</v>
      </c>
      <c r="R751" s="9">
        <f t="shared" si="47"/>
        <v>1.3835976650974939</v>
      </c>
      <c r="S751">
        <v>63</v>
      </c>
      <c r="T751" s="9">
        <f t="shared" si="46"/>
        <v>-0.97500595907284759</v>
      </c>
    </row>
    <row r="752" spans="1:20" x14ac:dyDescent="0.25">
      <c r="A752">
        <v>751</v>
      </c>
      <c r="B752">
        <v>4</v>
      </c>
      <c r="C752">
        <v>136</v>
      </c>
      <c r="D752">
        <v>70</v>
      </c>
      <c r="E752">
        <v>0</v>
      </c>
      <c r="F752">
        <v>0</v>
      </c>
      <c r="G752">
        <v>31.2</v>
      </c>
      <c r="H752">
        <v>1.1819999999999999</v>
      </c>
      <c r="I752">
        <v>22</v>
      </c>
      <c r="J752">
        <v>1</v>
      </c>
      <c r="K752" t="str">
        <f xml:space="preserve"> IF(COUNTIF($D$2:$D1520,D752)&gt;1,"duplicated","original")</f>
        <v>duplicated</v>
      </c>
      <c r="L752" s="2">
        <f>COUNTIF($D$2:$D752,D752)</f>
        <v>55</v>
      </c>
      <c r="M752" t="str">
        <f xml:space="preserve"> IF(COUNTIF($I$2:$I1520,I752)&gt;1,"duplicated","original")</f>
        <v>duplicated</v>
      </c>
      <c r="N752" s="2">
        <f>COUNTIF($I$2:$I752,I752)</f>
        <v>71</v>
      </c>
      <c r="O752" s="8">
        <f t="shared" si="44"/>
        <v>0.99216698120607405</v>
      </c>
      <c r="P752" s="8">
        <f t="shared" si="45"/>
        <v>3.3503682618851132</v>
      </c>
      <c r="Q752">
        <v>98</v>
      </c>
      <c r="R752" s="9">
        <f t="shared" si="47"/>
        <v>1.4861456487570739</v>
      </c>
      <c r="S752">
        <v>63</v>
      </c>
      <c r="T752" s="9">
        <f t="shared" si="46"/>
        <v>-2.4106777303069684</v>
      </c>
    </row>
    <row r="753" spans="1:20" x14ac:dyDescent="0.25">
      <c r="A753">
        <v>752</v>
      </c>
      <c r="B753">
        <v>1</v>
      </c>
      <c r="C753">
        <v>121</v>
      </c>
      <c r="D753">
        <v>78</v>
      </c>
      <c r="E753">
        <v>39</v>
      </c>
      <c r="F753">
        <v>74</v>
      </c>
      <c r="G753">
        <v>39</v>
      </c>
      <c r="H753">
        <v>0.26100000000000001</v>
      </c>
      <c r="I753">
        <v>28</v>
      </c>
      <c r="J753">
        <v>0</v>
      </c>
      <c r="K753" t="str">
        <f xml:space="preserve"> IF(COUNTIF($D$2:$D1507,$D$3)&gt;1,"duplicated","original")</f>
        <v>duplicated</v>
      </c>
      <c r="L753" s="2">
        <f>COUNTIF($D$2:$D753,D753)</f>
        <v>44</v>
      </c>
      <c r="M753" t="str">
        <f xml:space="preserve"> IF(COUNTIF($I$2:$I1521,I753)&gt;1,"duplicated","original")</f>
        <v>duplicated</v>
      </c>
      <c r="N753" s="2">
        <f>COUNTIF($I$2:$I753,I753)</f>
        <v>35</v>
      </c>
      <c r="O753" s="8">
        <f t="shared" si="44"/>
        <v>2.9973980914445737</v>
      </c>
      <c r="P753" s="8">
        <f t="shared" si="45"/>
        <v>2.2858187789601945</v>
      </c>
      <c r="Q753">
        <v>98</v>
      </c>
      <c r="R753" s="9">
        <f t="shared" si="47"/>
        <v>1.4861456487570739</v>
      </c>
      <c r="S753">
        <v>63</v>
      </c>
      <c r="T753" s="9">
        <f t="shared" si="46"/>
        <v>-2.1030337793282281</v>
      </c>
    </row>
    <row r="754" spans="1:20" x14ac:dyDescent="0.25">
      <c r="A754">
        <v>753</v>
      </c>
      <c r="B754">
        <v>3</v>
      </c>
      <c r="C754">
        <v>108</v>
      </c>
      <c r="D754">
        <v>62</v>
      </c>
      <c r="E754">
        <v>24</v>
      </c>
      <c r="F754">
        <v>0</v>
      </c>
      <c r="G754">
        <v>26</v>
      </c>
      <c r="H754">
        <v>0.223</v>
      </c>
      <c r="I754">
        <v>25</v>
      </c>
      <c r="J754">
        <v>0</v>
      </c>
      <c r="K754" t="str">
        <f xml:space="preserve"> IF(COUNTIF($D$2:$D1522,D754)&gt;1,"duplicated","original")</f>
        <v>duplicated</v>
      </c>
      <c r="L754" s="2">
        <f>COUNTIF($D$2:$D754,D754)</f>
        <v>33</v>
      </c>
      <c r="M754" t="str">
        <f xml:space="preserve"> IF(COUNTIF($I$2:$I1522,I754)&gt;1,"duplicated","original")</f>
        <v>duplicated</v>
      </c>
      <c r="N754" s="2">
        <f>COUNTIF($I$2:$I754,I754)</f>
        <v>48</v>
      </c>
      <c r="O754" s="8">
        <f t="shared" si="44"/>
        <v>2.648698676974115</v>
      </c>
      <c r="P754" s="8">
        <f t="shared" si="45"/>
        <v>2.8679204121186967</v>
      </c>
      <c r="Q754">
        <v>98</v>
      </c>
      <c r="R754" s="9">
        <f t="shared" si="47"/>
        <v>1.4861456487570739</v>
      </c>
      <c r="S754">
        <v>64</v>
      </c>
      <c r="T754" s="9">
        <f t="shared" si="46"/>
        <v>-2.2568557548175985</v>
      </c>
    </row>
    <row r="755" spans="1:20" x14ac:dyDescent="0.25">
      <c r="A755">
        <v>754</v>
      </c>
      <c r="B755">
        <v>0</v>
      </c>
      <c r="C755">
        <v>181</v>
      </c>
      <c r="D755">
        <v>88</v>
      </c>
      <c r="E755">
        <v>44</v>
      </c>
      <c r="F755">
        <v>510</v>
      </c>
      <c r="G755">
        <v>43.3</v>
      </c>
      <c r="H755">
        <v>0.222</v>
      </c>
      <c r="I755">
        <v>26</v>
      </c>
      <c r="J755">
        <v>1</v>
      </c>
      <c r="K755" t="str">
        <f xml:space="preserve"> IF(COUNTIF($D$2:$D1523,D755)&gt;1,"duplicated","original")</f>
        <v>duplicated</v>
      </c>
      <c r="L755" s="2">
        <f>COUNTIF($D$2:$D755,D755)</f>
        <v>24</v>
      </c>
      <c r="M755" t="str">
        <f xml:space="preserve"> IF(COUNTIF($I$2:$I1509,I755)&gt;1,"duplicated","original")</f>
        <v>duplicated</v>
      </c>
      <c r="N755" s="2">
        <f>COUNTIF($I$2:$I755,I755)</f>
        <v>32</v>
      </c>
      <c r="O755" s="8">
        <f t="shared" si="44"/>
        <v>4.3571085961444176</v>
      </c>
      <c r="P755" s="8">
        <f t="shared" si="45"/>
        <v>2.6879299637912952</v>
      </c>
      <c r="Q755">
        <v>100</v>
      </c>
      <c r="R755" s="9">
        <f t="shared" si="47"/>
        <v>1.5886936324166541</v>
      </c>
      <c r="S755">
        <v>65</v>
      </c>
      <c r="T755" s="9">
        <f t="shared" si="46"/>
        <v>-2.2055817629878085</v>
      </c>
    </row>
    <row r="756" spans="1:20" x14ac:dyDescent="0.25">
      <c r="A756">
        <v>755</v>
      </c>
      <c r="B756">
        <v>8</v>
      </c>
      <c r="C756">
        <v>154</v>
      </c>
      <c r="D756">
        <v>78</v>
      </c>
      <c r="E756">
        <v>32</v>
      </c>
      <c r="F756">
        <v>0</v>
      </c>
      <c r="G756">
        <v>32.4</v>
      </c>
      <c r="H756">
        <v>0.443</v>
      </c>
      <c r="I756">
        <v>45</v>
      </c>
      <c r="J756">
        <v>1</v>
      </c>
      <c r="K756" t="str">
        <f xml:space="preserve"> IF(COUNTIF($D$2:$D1510,$D$3)&gt;1,"duplicated","original")</f>
        <v>duplicated</v>
      </c>
      <c r="L756" s="2">
        <f>COUNTIF($D$2:$D756,D756)</f>
        <v>45</v>
      </c>
      <c r="M756" t="str">
        <f xml:space="preserve"> IF(COUNTIF($I$2:$I1524,I756)&gt;1,"duplicated","original")</f>
        <v>duplicated</v>
      </c>
      <c r="N756" s="2">
        <f>COUNTIF($I$2:$I756,I756)</f>
        <v>15</v>
      </c>
      <c r="O756" s="8">
        <f t="shared" si="44"/>
        <v>2.9973980914445737</v>
      </c>
      <c r="P756" s="8">
        <f t="shared" si="45"/>
        <v>3.4314767243495803</v>
      </c>
      <c r="Q756">
        <v>100</v>
      </c>
      <c r="R756" s="9">
        <f t="shared" si="47"/>
        <v>1.5886936324166541</v>
      </c>
      <c r="S756">
        <v>65</v>
      </c>
      <c r="T756" s="9">
        <f t="shared" si="46"/>
        <v>-1.2313759182217978</v>
      </c>
    </row>
    <row r="757" spans="1:20" x14ac:dyDescent="0.25">
      <c r="A757">
        <v>756</v>
      </c>
      <c r="B757">
        <v>1</v>
      </c>
      <c r="C757">
        <v>128</v>
      </c>
      <c r="D757">
        <v>88</v>
      </c>
      <c r="E757">
        <v>39</v>
      </c>
      <c r="F757">
        <v>110</v>
      </c>
      <c r="G757">
        <v>36.5</v>
      </c>
      <c r="H757">
        <v>1.0569999999999999</v>
      </c>
      <c r="I757">
        <v>37</v>
      </c>
      <c r="J757">
        <v>1</v>
      </c>
      <c r="K757" t="str">
        <f xml:space="preserve"> IF(COUNTIF($D$2:$D1525,D757)&gt;1,"duplicated","original")</f>
        <v>duplicated</v>
      </c>
      <c r="L757" s="2">
        <f>COUNTIF($D$2:$D757,D757)</f>
        <v>25</v>
      </c>
      <c r="M757" t="str">
        <f xml:space="preserve"> IF(COUNTIF($I$2:$I1525,I757)&gt;1,"duplicated","original")</f>
        <v>duplicated</v>
      </c>
      <c r="N757" s="2">
        <f>COUNTIF($I$2:$I757,I757)</f>
        <v>19</v>
      </c>
      <c r="O757" s="8">
        <f t="shared" si="44"/>
        <v>4.3571085961444176</v>
      </c>
      <c r="P757" s="8">
        <f t="shared" si="45"/>
        <v>1.9429442888958308</v>
      </c>
      <c r="Q757">
        <v>100</v>
      </c>
      <c r="R757" s="9">
        <f t="shared" si="47"/>
        <v>1.5886936324166541</v>
      </c>
      <c r="S757">
        <v>65</v>
      </c>
      <c r="T757" s="9">
        <f t="shared" si="46"/>
        <v>-1.6415678528601181</v>
      </c>
    </row>
    <row r="758" spans="1:20" x14ac:dyDescent="0.25">
      <c r="A758">
        <v>757</v>
      </c>
      <c r="B758">
        <v>7</v>
      </c>
      <c r="C758">
        <v>137</v>
      </c>
      <c r="D758">
        <v>90</v>
      </c>
      <c r="E758">
        <v>41</v>
      </c>
      <c r="F758">
        <v>0</v>
      </c>
      <c r="G758">
        <v>32</v>
      </c>
      <c r="H758">
        <v>0.39100000000000001</v>
      </c>
      <c r="I758">
        <v>39</v>
      </c>
      <c r="J758">
        <v>0</v>
      </c>
      <c r="K758" t="str">
        <f xml:space="preserve"> IF(COUNTIF($D$2:$D1526,D758)&gt;1,"duplicated","original")</f>
        <v>duplicated</v>
      </c>
      <c r="L758" s="2">
        <f>COUNTIF($D$2:$D758,D758)</f>
        <v>22</v>
      </c>
      <c r="M758" t="str">
        <f xml:space="preserve"> IF(COUNTIF($I$2:$I1526,I758)&gt;1,"duplicated","original")</f>
        <v>duplicated</v>
      </c>
      <c r="N758" s="2">
        <f>COUNTIF($I$2:$I758,I758)</f>
        <v>12</v>
      </c>
      <c r="O758" s="8">
        <f t="shared" si="44"/>
        <v>4.5808727682173815</v>
      </c>
      <c r="P758" s="8">
        <f t="shared" si="45"/>
        <v>2.4031297321936087</v>
      </c>
      <c r="Q758">
        <v>102</v>
      </c>
      <c r="R758" s="9">
        <f t="shared" si="47"/>
        <v>1.691241616076234</v>
      </c>
      <c r="S758">
        <v>66</v>
      </c>
      <c r="T758" s="9">
        <f t="shared" si="46"/>
        <v>-1.5390198692005379</v>
      </c>
    </row>
    <row r="759" spans="1:20" x14ac:dyDescent="0.25">
      <c r="A759">
        <v>758</v>
      </c>
      <c r="B759">
        <v>0</v>
      </c>
      <c r="C759">
        <v>123</v>
      </c>
      <c r="D759">
        <v>72</v>
      </c>
      <c r="E759">
        <v>0</v>
      </c>
      <c r="F759">
        <v>0</v>
      </c>
      <c r="G759">
        <v>36.299999999999997</v>
      </c>
      <c r="H759">
        <v>0.25800000000000001</v>
      </c>
      <c r="I759">
        <v>52</v>
      </c>
      <c r="J759">
        <v>1</v>
      </c>
      <c r="K759" t="str">
        <f xml:space="preserve"> IF(COUNTIF($D$2:$D1513,$D$3)&gt;1,"duplicated","original")</f>
        <v>duplicated</v>
      </c>
      <c r="L759" s="2">
        <f>COUNTIF($D$2:$D759,D759)</f>
        <v>43</v>
      </c>
      <c r="M759" t="str">
        <f xml:space="preserve"> IF(COUNTIF($I$2:$I1513,I759)&gt;1,"duplicated","original")</f>
        <v>duplicated</v>
      </c>
      <c r="N759" s="2">
        <f>COUNTIF($I$2:$I759,I759)</f>
        <v>8</v>
      </c>
      <c r="O759" s="8">
        <f t="shared" si="44"/>
        <v>1.7275402509335562</v>
      </c>
      <c r="P759" s="8">
        <f t="shared" si="45"/>
        <v>4.3330165600598534</v>
      </c>
      <c r="Q759">
        <v>104</v>
      </c>
      <c r="R759" s="9">
        <f t="shared" si="47"/>
        <v>1.793789599735814</v>
      </c>
      <c r="S759">
        <v>66</v>
      </c>
      <c r="T759" s="9">
        <f t="shared" si="46"/>
        <v>-0.87245797541326753</v>
      </c>
    </row>
    <row r="760" spans="1:20" x14ac:dyDescent="0.25">
      <c r="A760">
        <v>759</v>
      </c>
      <c r="B760">
        <v>1</v>
      </c>
      <c r="C760">
        <v>106</v>
      </c>
      <c r="D760">
        <v>76</v>
      </c>
      <c r="E760">
        <v>0</v>
      </c>
      <c r="F760">
        <v>0</v>
      </c>
      <c r="G760">
        <v>37.5</v>
      </c>
      <c r="H760">
        <v>0.19700000000000001</v>
      </c>
      <c r="I760">
        <v>26</v>
      </c>
      <c r="J760">
        <v>0</v>
      </c>
      <c r="K760" t="str">
        <f xml:space="preserve"> IF(COUNTIF($D$2:$D1528,D760)&gt;1,"duplicated","original")</f>
        <v>duplicated</v>
      </c>
      <c r="L760" s="2">
        <f>COUNTIF($D$2:$D760,D760)</f>
        <v>38</v>
      </c>
      <c r="M760" t="str">
        <f xml:space="preserve"> IF(COUNTIF($I$2:$I1528,I760)&gt;1,"duplicated","original")</f>
        <v>duplicated</v>
      </c>
      <c r="N760" s="2">
        <f>COUNTIF($I$2:$I760,I760)</f>
        <v>33</v>
      </c>
      <c r="O760" s="8">
        <f t="shared" si="44"/>
        <v>2.642800658126824</v>
      </c>
      <c r="P760" s="8">
        <f t="shared" si="45"/>
        <v>2.6879299637912952</v>
      </c>
      <c r="Q760">
        <v>104</v>
      </c>
      <c r="R760" s="9">
        <f t="shared" si="47"/>
        <v>1.793789599735814</v>
      </c>
      <c r="S760">
        <v>66</v>
      </c>
      <c r="T760" s="9">
        <f t="shared" si="46"/>
        <v>-2.2055817629878085</v>
      </c>
    </row>
    <row r="761" spans="1:20" x14ac:dyDescent="0.25">
      <c r="A761">
        <v>760</v>
      </c>
      <c r="B761">
        <v>6</v>
      </c>
      <c r="C761">
        <v>190</v>
      </c>
      <c r="D761">
        <v>92</v>
      </c>
      <c r="E761">
        <v>0</v>
      </c>
      <c r="F761">
        <v>0</v>
      </c>
      <c r="G761">
        <v>35.5</v>
      </c>
      <c r="H761">
        <v>0.27800000000000002</v>
      </c>
      <c r="I761">
        <v>66</v>
      </c>
      <c r="J761">
        <v>1</v>
      </c>
      <c r="K761" t="str">
        <f xml:space="preserve"> IF(COUNTIF($D$2:$D1529,D761)&gt;1,"duplicated","original")</f>
        <v>duplicated</v>
      </c>
      <c r="L761" s="2">
        <f>COUNTIF($D$2:$D761,D761)</f>
        <v>8</v>
      </c>
      <c r="M761" t="str">
        <f xml:space="preserve"> IF(COUNTIF($I$2:$I1529,I761)&gt;1,"duplicated","original")</f>
        <v>duplicated</v>
      </c>
      <c r="N761" s="2">
        <f>COUNTIF($I$2:$I761,I761)</f>
        <v>4</v>
      </c>
      <c r="O761" s="8">
        <f t="shared" si="44"/>
        <v>4.7942043467707522</v>
      </c>
      <c r="P761" s="8">
        <f t="shared" si="45"/>
        <v>5.7249482538930367</v>
      </c>
      <c r="Q761">
        <v>106</v>
      </c>
      <c r="R761" s="9">
        <f t="shared" si="47"/>
        <v>1.8963375833953942</v>
      </c>
      <c r="S761">
        <v>66</v>
      </c>
      <c r="T761" s="9">
        <f t="shared" si="46"/>
        <v>-0.15462208979620712</v>
      </c>
    </row>
    <row r="762" spans="1:20" x14ac:dyDescent="0.25">
      <c r="A762">
        <v>761</v>
      </c>
      <c r="B762">
        <v>2</v>
      </c>
      <c r="C762">
        <v>88</v>
      </c>
      <c r="D762">
        <v>58</v>
      </c>
      <c r="E762">
        <v>26</v>
      </c>
      <c r="F762">
        <v>16</v>
      </c>
      <c r="G762">
        <v>28.4</v>
      </c>
      <c r="H762">
        <v>0.76600000000000001</v>
      </c>
      <c r="I762">
        <v>22</v>
      </c>
      <c r="J762">
        <v>0</v>
      </c>
      <c r="K762" t="str">
        <f xml:space="preserve"> IF(COUNTIF($D$2:$D1516,$D$3)&gt;1,"duplicated","original")</f>
        <v>duplicated</v>
      </c>
      <c r="L762" s="2">
        <f>COUNTIF($D$2:$D762,D762)</f>
        <v>21</v>
      </c>
      <c r="M762" t="str">
        <f xml:space="preserve"> IF(COUNTIF($I$2:$I1530,I762)&gt;1,"duplicated","original")</f>
        <v>duplicated</v>
      </c>
      <c r="N762" s="2">
        <f>COUNTIF($I$2:$I762,I762)</f>
        <v>72</v>
      </c>
      <c r="O762" s="8">
        <f t="shared" si="44"/>
        <v>3.3189764508662045</v>
      </c>
      <c r="P762" s="8">
        <f t="shared" si="45"/>
        <v>3.3503682618851132</v>
      </c>
      <c r="Q762">
        <v>106</v>
      </c>
      <c r="R762" s="9">
        <f t="shared" si="47"/>
        <v>1.8963375833953942</v>
      </c>
      <c r="S762">
        <v>67</v>
      </c>
      <c r="T762" s="9">
        <f t="shared" si="46"/>
        <v>-2.4106777303069684</v>
      </c>
    </row>
    <row r="763" spans="1:20" x14ac:dyDescent="0.25">
      <c r="A763">
        <v>762</v>
      </c>
      <c r="B763">
        <v>9</v>
      </c>
      <c r="C763">
        <v>170</v>
      </c>
      <c r="D763">
        <v>74</v>
      </c>
      <c r="E763">
        <v>31</v>
      </c>
      <c r="F763">
        <v>0</v>
      </c>
      <c r="G763">
        <v>44</v>
      </c>
      <c r="H763">
        <v>0.40300000000000002</v>
      </c>
      <c r="I763">
        <v>43</v>
      </c>
      <c r="J763">
        <v>1</v>
      </c>
      <c r="K763" t="str">
        <f xml:space="preserve"> IF(COUNTIF($D$2:$D1531,D763)&gt;1,"duplicated","original")</f>
        <v>duplicated</v>
      </c>
      <c r="L763" s="2">
        <f>COUNTIF($D$2:$D763,D763)</f>
        <v>52</v>
      </c>
      <c r="M763" t="str">
        <f xml:space="preserve"> IF(COUNTIF($I$2:$I1517,I763)&gt;1,"duplicated","original")</f>
        <v>duplicated</v>
      </c>
      <c r="N763" s="2">
        <f>COUNTIF($I$2:$I763,I763)</f>
        <v>13</v>
      </c>
      <c r="O763" s="8">
        <f t="shared" si="44"/>
        <v>2.2325759379236296</v>
      </c>
      <c r="P763" s="8">
        <f t="shared" si="45"/>
        <v>3.1265048392338888</v>
      </c>
      <c r="Q763">
        <v>106</v>
      </c>
      <c r="R763" s="9">
        <f t="shared" si="47"/>
        <v>1.8963375833953942</v>
      </c>
      <c r="S763">
        <v>67</v>
      </c>
      <c r="T763" s="9">
        <f t="shared" si="46"/>
        <v>-1.3339239018813778</v>
      </c>
    </row>
    <row r="764" spans="1:20" x14ac:dyDescent="0.25">
      <c r="A764">
        <v>763</v>
      </c>
      <c r="B764">
        <v>9</v>
      </c>
      <c r="C764">
        <v>89</v>
      </c>
      <c r="D764">
        <v>62</v>
      </c>
      <c r="E764">
        <v>0</v>
      </c>
      <c r="F764">
        <v>0</v>
      </c>
      <c r="G764">
        <v>22.5</v>
      </c>
      <c r="H764">
        <v>0.14199999999999999</v>
      </c>
      <c r="I764">
        <v>33</v>
      </c>
      <c r="J764">
        <v>0</v>
      </c>
      <c r="K764" t="str">
        <f xml:space="preserve"> IF(COUNTIF($D$2:$D1532,D764)&gt;1,"duplicated","original")</f>
        <v>duplicated</v>
      </c>
      <c r="L764" s="2">
        <f>COUNTIF($D$2:$D764,D764)</f>
        <v>34</v>
      </c>
      <c r="M764" t="str">
        <f xml:space="preserve"> IF(COUNTIF($I$2:$I1532,I764)&gt;1,"duplicated","original")</f>
        <v>duplicated</v>
      </c>
      <c r="N764" s="2">
        <f>COUNTIF($I$2:$I764,I764)</f>
        <v>17</v>
      </c>
      <c r="O764" s="8">
        <f t="shared" si="44"/>
        <v>2.648698676974115</v>
      </c>
      <c r="P764" s="8">
        <f t="shared" si="45"/>
        <v>0.47430737949885876</v>
      </c>
      <c r="Q764">
        <v>108</v>
      </c>
      <c r="R764" s="9">
        <f t="shared" si="47"/>
        <v>1.9988855670549741</v>
      </c>
      <c r="S764">
        <v>67</v>
      </c>
      <c r="T764" s="9">
        <f t="shared" si="46"/>
        <v>-1.8466638201792782</v>
      </c>
    </row>
    <row r="765" spans="1:20" x14ac:dyDescent="0.25">
      <c r="A765">
        <v>764</v>
      </c>
      <c r="B765">
        <v>10</v>
      </c>
      <c r="C765">
        <v>101</v>
      </c>
      <c r="D765">
        <v>76</v>
      </c>
      <c r="E765">
        <v>48</v>
      </c>
      <c r="F765">
        <v>180</v>
      </c>
      <c r="G765">
        <v>32.9</v>
      </c>
      <c r="H765">
        <v>0.17100000000000001</v>
      </c>
      <c r="I765">
        <v>63</v>
      </c>
      <c r="J765">
        <v>0</v>
      </c>
      <c r="K765" t="str">
        <f xml:space="preserve"> IF(COUNTIF($D$2:$D1519,$D$3)&gt;1,"duplicated","original")</f>
        <v>duplicated</v>
      </c>
      <c r="L765" s="2">
        <f>COUNTIF($D$2:$D765,D765)</f>
        <v>39</v>
      </c>
      <c r="M765" t="str">
        <f xml:space="preserve"> IF(COUNTIF($I$2:$I1533,I765)&gt;1,"duplicated","original")</f>
        <v>duplicated</v>
      </c>
      <c r="N765" s="2">
        <f>COUNTIF($I$2:$I765,I765)</f>
        <v>4</v>
      </c>
      <c r="O765" s="8">
        <f t="shared" si="44"/>
        <v>2.642800658126824</v>
      </c>
      <c r="P765" s="8">
        <f t="shared" si="45"/>
        <v>5.4566503012152907</v>
      </c>
      <c r="Q765">
        <v>108</v>
      </c>
      <c r="R765" s="9">
        <f t="shared" si="47"/>
        <v>1.9988855670549741</v>
      </c>
      <c r="S765">
        <v>68</v>
      </c>
      <c r="T765" s="9">
        <f t="shared" si="46"/>
        <v>-0.30844406528557722</v>
      </c>
    </row>
    <row r="766" spans="1:20" x14ac:dyDescent="0.25">
      <c r="A766">
        <v>765</v>
      </c>
      <c r="B766">
        <v>2</v>
      </c>
      <c r="C766">
        <v>122</v>
      </c>
      <c r="D766">
        <v>70</v>
      </c>
      <c r="E766">
        <v>27</v>
      </c>
      <c r="F766">
        <v>0</v>
      </c>
      <c r="G766">
        <v>36.799999999999997</v>
      </c>
      <c r="H766">
        <v>0.34</v>
      </c>
      <c r="I766">
        <v>27</v>
      </c>
      <c r="J766">
        <v>0</v>
      </c>
      <c r="K766" t="str">
        <f xml:space="preserve"> IF(COUNTIF($D$2:$D1534,D766)&gt;1,"duplicated","original")</f>
        <v>duplicated</v>
      </c>
      <c r="L766" s="2">
        <f>COUNTIF($D$2:$D766,D766)</f>
        <v>56</v>
      </c>
      <c r="M766" t="str">
        <f xml:space="preserve"> IF(COUNTIF($I$2:$I1534,I766)&gt;1,"duplicated","original")</f>
        <v>duplicated</v>
      </c>
      <c r="N766" s="2">
        <f>COUNTIF($I$2:$I766,I766)</f>
        <v>32</v>
      </c>
      <c r="O766" s="8">
        <f t="shared" si="44"/>
        <v>0.99216698120607405</v>
      </c>
      <c r="P766" s="8">
        <f t="shared" si="45"/>
        <v>2.4949884749727951</v>
      </c>
      <c r="Q766">
        <v>110</v>
      </c>
      <c r="R766" s="9">
        <f t="shared" si="47"/>
        <v>2.1014335507145541</v>
      </c>
      <c r="S766">
        <v>69</v>
      </c>
      <c r="T766" s="9">
        <f t="shared" si="46"/>
        <v>-2.1543077711580185</v>
      </c>
    </row>
    <row r="767" spans="1:20" x14ac:dyDescent="0.25">
      <c r="A767">
        <v>766</v>
      </c>
      <c r="B767">
        <v>5</v>
      </c>
      <c r="C767">
        <v>121</v>
      </c>
      <c r="D767">
        <v>72</v>
      </c>
      <c r="E767">
        <v>23</v>
      </c>
      <c r="F767">
        <v>112</v>
      </c>
      <c r="G767">
        <v>26.2</v>
      </c>
      <c r="H767">
        <v>0.245</v>
      </c>
      <c r="I767">
        <v>30</v>
      </c>
      <c r="J767">
        <v>0</v>
      </c>
      <c r="K767" t="str">
        <f xml:space="preserve"> IF(COUNTIF($D$2:$D1535,D767)&gt;1,"duplicated","original")</f>
        <v>duplicated</v>
      </c>
      <c r="L767" s="2">
        <f>COUNTIF($D$2:$D767,D767)</f>
        <v>44</v>
      </c>
      <c r="M767" t="str">
        <f xml:space="preserve"> IF(COUNTIF($I$2:$I1521,I767)&gt;1,"duplicated","original")</f>
        <v>duplicated</v>
      </c>
      <c r="N767" s="2">
        <f>COUNTIF($I$2:$I767,I767)</f>
        <v>21</v>
      </c>
      <c r="O767" s="8">
        <f t="shared" si="44"/>
        <v>1.7275402509335562</v>
      </c>
      <c r="P767" s="8">
        <f t="shared" si="45"/>
        <v>1.7958194481202931</v>
      </c>
      <c r="Q767">
        <v>110</v>
      </c>
      <c r="R767" s="9">
        <f t="shared" si="47"/>
        <v>2.1014335507145541</v>
      </c>
      <c r="S767">
        <v>69</v>
      </c>
      <c r="T767" s="9">
        <f t="shared" si="46"/>
        <v>-2.0004857956686481</v>
      </c>
    </row>
    <row r="768" spans="1:20" x14ac:dyDescent="0.25">
      <c r="A768">
        <v>767</v>
      </c>
      <c r="B768">
        <v>1</v>
      </c>
      <c r="C768">
        <v>126</v>
      </c>
      <c r="D768">
        <v>60</v>
      </c>
      <c r="E768">
        <v>0</v>
      </c>
      <c r="F768">
        <v>0</v>
      </c>
      <c r="G768">
        <v>30.1</v>
      </c>
      <c r="H768">
        <v>0.34899999999999998</v>
      </c>
      <c r="I768">
        <v>47</v>
      </c>
      <c r="J768">
        <v>1</v>
      </c>
      <c r="K768" t="str">
        <f xml:space="preserve"> IF(COUNTIF($D$2:$D1522,$D$3)&gt;1,"duplicated","original")</f>
        <v>duplicated</v>
      </c>
      <c r="L768" s="2">
        <f>COUNTIF($D$2:$D768,D768)</f>
        <v>37</v>
      </c>
      <c r="M768" t="str">
        <f xml:space="preserve"> IF(COUNTIF($I$2:$I1536,I768)&gt;1,"duplicated","original")</f>
        <v>duplicated</v>
      </c>
      <c r="N768" s="2">
        <f>COUNTIF($I$2:$I768,I768)</f>
        <v>6</v>
      </c>
      <c r="O768" s="8">
        <f t="shared" si="44"/>
        <v>3.002599653867366</v>
      </c>
      <c r="P768" s="8">
        <f t="shared" si="45"/>
        <v>3.7114730916110554</v>
      </c>
      <c r="Q768">
        <v>110</v>
      </c>
      <c r="R768" s="9">
        <f t="shared" si="47"/>
        <v>2.1014335507145541</v>
      </c>
      <c r="S768">
        <v>70</v>
      </c>
      <c r="T768" s="9">
        <f t="shared" si="46"/>
        <v>-1.1288279345622176</v>
      </c>
    </row>
    <row r="769" spans="1:20" x14ac:dyDescent="0.25">
      <c r="A769">
        <v>768</v>
      </c>
      <c r="B769">
        <v>1</v>
      </c>
      <c r="C769">
        <v>93</v>
      </c>
      <c r="D769">
        <v>70</v>
      </c>
      <c r="E769">
        <v>31</v>
      </c>
      <c r="F769">
        <v>0</v>
      </c>
      <c r="G769">
        <v>30.4</v>
      </c>
      <c r="H769">
        <v>0.315</v>
      </c>
      <c r="I769">
        <v>23</v>
      </c>
      <c r="J769">
        <v>0</v>
      </c>
      <c r="K769" t="str">
        <f xml:space="preserve"> IF(COUNTIF($D$2:$D1537,D769)&gt;1,"duplicated","original")</f>
        <v>duplicated</v>
      </c>
      <c r="L769" s="2">
        <f>COUNTIF($D$2:$D769,D769)</f>
        <v>57</v>
      </c>
      <c r="M769" t="str">
        <f xml:space="preserve"> IF(COUNTIF($I$2:$I1537,I769)&gt;1,"duplicated","original")</f>
        <v>duplicated</v>
      </c>
      <c r="N769" s="2">
        <f>COUNTIF($I$2:$I769,I769)</f>
        <v>38</v>
      </c>
      <c r="O769" s="8">
        <f t="shared" si="44"/>
        <v>0.99216698120607405</v>
      </c>
      <c r="P769" s="8">
        <f t="shared" si="45"/>
        <v>3.1976503076864229</v>
      </c>
      <c r="Q769">
        <v>114</v>
      </c>
      <c r="R769" s="9">
        <f t="shared" si="47"/>
        <v>2.3065295180337144</v>
      </c>
      <c r="S769">
        <v>72</v>
      </c>
      <c r="T769" s="9">
        <f t="shared" si="46"/>
        <v>-2.3594037384771784</v>
      </c>
    </row>
    <row r="770" spans="1:20" x14ac:dyDescent="0.25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7.8E-2</v>
      </c>
      <c r="I770">
        <v>21</v>
      </c>
      <c r="J770">
        <v>0</v>
      </c>
      <c r="K770" t="str">
        <f xml:space="preserve"> IF(COUNTIF($D$2:$D1538,D770)&gt;1,"duplicated","original")</f>
        <v>duplicated</v>
      </c>
      <c r="L770" s="2">
        <f>COUNTIF($D$2:$D770,D770)</f>
        <v>36</v>
      </c>
      <c r="M770" t="str">
        <f xml:space="preserve"> IF(COUNTIF($I$2:$I1538,I770)&gt;1,"duplicated","original")</f>
        <v>duplicated</v>
      </c>
      <c r="N770" s="2">
        <f>COUNTIF($I$2:$I770,I770)</f>
        <v>64</v>
      </c>
      <c r="O770" s="8">
        <f t="shared" si="44"/>
        <v>8.3075631012592623</v>
      </c>
      <c r="P770" s="8">
        <f t="shared" si="45"/>
        <v>3.4964220984096119</v>
      </c>
      <c r="Q770">
        <v>122</v>
      </c>
      <c r="R770" s="9">
        <f t="shared" si="47"/>
        <v>2.7167214526720347</v>
      </c>
      <c r="S770">
        <v>81</v>
      </c>
      <c r="T770" s="9">
        <f t="shared" si="46"/>
        <v>-2.4619517221367584</v>
      </c>
    </row>
  </sheetData>
  <sortState ref="S2:S770">
    <sortCondition ref="S2:S77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Sheet8</vt:lpstr>
      <vt:lpstr>Sheet9</vt:lpstr>
      <vt:lpstr>Sheet10</vt:lpstr>
      <vt:lpstr>Sheet11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R</dc:creator>
  <cp:lastModifiedBy>Zachary G.V.</cp:lastModifiedBy>
  <dcterms:created xsi:type="dcterms:W3CDTF">2014-02-16T22:39:46Z</dcterms:created>
  <dcterms:modified xsi:type="dcterms:W3CDTF">2014-02-24T18:23:22Z</dcterms:modified>
</cp:coreProperties>
</file>